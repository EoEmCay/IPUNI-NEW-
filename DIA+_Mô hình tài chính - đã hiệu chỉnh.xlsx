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IA+\"/>
    </mc:Choice>
  </mc:AlternateContent>
  <xr:revisionPtr revIDLastSave="0" documentId="13_ncr:1_{A6EF4983-F90F-4897-BF9B-3DB783665833}" xr6:coauthVersionLast="47" xr6:coauthVersionMax="47" xr10:uidLastSave="{00000000-0000-0000-0000-000000000000}"/>
  <bookViews>
    <workbookView xWindow="-120" yWindow="-120" windowWidth="29040" windowHeight="15720" tabRatio="500" firstSheet="5" activeTab="5" xr2:uid="{00000000-000D-0000-FFFF-FFFF00000000}"/>
  </bookViews>
  <sheets>
    <sheet name="DIA_Danh Mục Đầu Tư" sheetId="1" r:id="rId1"/>
    <sheet name="DIA_Giả Định" sheetId="2" r:id="rId2"/>
    <sheet name="DIA_Chi Phí" sheetId="3" r:id="rId3"/>
    <sheet name="DIA_Kịch Bản &amp; Độ Nhạy" sheetId="4" r:id="rId4"/>
    <sheet name="DIA_Hiệu Quả TC" sheetId="5" r:id="rId5"/>
    <sheet name="DIA_Giá và Doanh Thu" sheetId="6" r:id="rId6"/>
    <sheet name="DIA_Tóm Tắt" sheetId="7" r:id="rId7"/>
  </sheets>
  <definedNames>
    <definedName name="_xlnm._FilterDatabase" localSheetId="1" hidden="1">'DIA_Giả Định'!$A$3:$R$148</definedName>
    <definedName name="Z_9CD7A49B_D939_4BCC_A63D_DFA29187DD6C_.wvu.FilterData" localSheetId="1" hidden="1">'DIA_Giả Định'!$A$3:$R$148</definedName>
    <definedName name="Z_AE1E9080_78A0_4411_9FB9_8E5F78FD3824_.wvu.FilterData" localSheetId="1" hidden="1">'DIA_Giả Định'!$A$3:$R$148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8" i="7" l="1"/>
  <c r="I13" i="7"/>
  <c r="G13" i="7"/>
  <c r="G8" i="7"/>
  <c r="I7" i="7"/>
  <c r="G7" i="7"/>
  <c r="H13" i="7"/>
  <c r="I6" i="2"/>
  <c r="H6" i="2"/>
  <c r="G6" i="2"/>
  <c r="O6" i="2"/>
  <c r="E25" i="4"/>
  <c r="G254" i="5"/>
  <c r="F255" i="5"/>
  <c r="E255" i="5"/>
  <c r="D255" i="5"/>
  <c r="C255" i="5"/>
  <c r="F254" i="5"/>
  <c r="E254" i="5"/>
  <c r="D254" i="5"/>
  <c r="C254" i="5"/>
  <c r="F253" i="5"/>
  <c r="G252" i="5"/>
  <c r="F252" i="5"/>
  <c r="E252" i="5"/>
  <c r="D252" i="5"/>
  <c r="C252" i="5"/>
  <c r="B3" i="7"/>
  <c r="A75" i="4"/>
  <c r="A74" i="4"/>
  <c r="A73" i="4"/>
  <c r="A72" i="4"/>
  <c r="A71" i="4"/>
  <c r="K70" i="4"/>
  <c r="J70" i="4"/>
  <c r="I70" i="4"/>
  <c r="H70" i="4"/>
  <c r="E70" i="4"/>
  <c r="D70" i="4"/>
  <c r="C70" i="4"/>
  <c r="B70" i="4"/>
  <c r="A65" i="4"/>
  <c r="A64" i="4"/>
  <c r="A63" i="4"/>
  <c r="A62" i="4"/>
  <c r="A61" i="4"/>
  <c r="K60" i="4"/>
  <c r="J60" i="4"/>
  <c r="I60" i="4"/>
  <c r="H60" i="4"/>
  <c r="E60" i="4"/>
  <c r="D60" i="4"/>
  <c r="C60" i="4"/>
  <c r="B60" i="4"/>
  <c r="J40" i="4"/>
  <c r="I40" i="4"/>
  <c r="H40" i="4"/>
  <c r="G40" i="4"/>
  <c r="F40" i="4"/>
  <c r="E40" i="4"/>
  <c r="D40" i="4"/>
  <c r="C40" i="4"/>
  <c r="B40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H29" i="4"/>
  <c r="E29" i="4"/>
  <c r="B29" i="4"/>
  <c r="J28" i="4"/>
  <c r="I28" i="4"/>
  <c r="H28" i="4"/>
  <c r="H32" i="4" s="1"/>
  <c r="G28" i="4"/>
  <c r="C28" i="4"/>
  <c r="B28" i="4"/>
  <c r="B32" i="4" s="1"/>
  <c r="H27" i="4"/>
  <c r="E27" i="4"/>
  <c r="B27" i="4"/>
  <c r="J26" i="4"/>
  <c r="E8" i="4" s="1"/>
  <c r="I26" i="4"/>
  <c r="H26" i="4"/>
  <c r="G26" i="4"/>
  <c r="D8" i="4" s="1"/>
  <c r="F26" i="4"/>
  <c r="E26" i="4"/>
  <c r="D26" i="4"/>
  <c r="C8" i="4" s="1"/>
  <c r="C26" i="4"/>
  <c r="B26" i="4"/>
  <c r="J25" i="4"/>
  <c r="I25" i="4"/>
  <c r="H25" i="4"/>
  <c r="G25" i="4"/>
  <c r="C25" i="4"/>
  <c r="B25" i="4"/>
  <c r="J24" i="4"/>
  <c r="I24" i="4"/>
  <c r="H24" i="4"/>
  <c r="G24" i="4"/>
  <c r="C24" i="4"/>
  <c r="B24" i="4"/>
  <c r="J23" i="4"/>
  <c r="I23" i="4"/>
  <c r="H23" i="4"/>
  <c r="G23" i="4"/>
  <c r="C23" i="4"/>
  <c r="B23" i="4"/>
  <c r="E7" i="4"/>
  <c r="D7" i="4"/>
  <c r="C7" i="4"/>
  <c r="E6" i="4"/>
  <c r="D6" i="4"/>
  <c r="F41" i="3"/>
  <c r="G41" i="3" s="1"/>
  <c r="D41" i="3"/>
  <c r="E41" i="3" s="1"/>
  <c r="B41" i="3"/>
  <c r="C41" i="3" s="1"/>
  <c r="F40" i="3"/>
  <c r="G40" i="3" s="1"/>
  <c r="D40" i="3"/>
  <c r="E40" i="3" s="1"/>
  <c r="B40" i="3"/>
  <c r="C40" i="3" s="1"/>
  <c r="F39" i="3"/>
  <c r="G39" i="3" s="1"/>
  <c r="D39" i="3"/>
  <c r="E39" i="3" s="1"/>
  <c r="B39" i="3"/>
  <c r="C39" i="3" s="1"/>
  <c r="F36" i="3"/>
  <c r="D36" i="3"/>
  <c r="B36" i="3"/>
  <c r="F35" i="3"/>
  <c r="G35" i="3" s="1"/>
  <c r="D35" i="3"/>
  <c r="E35" i="3" s="1"/>
  <c r="B35" i="3"/>
  <c r="C35" i="3" s="1"/>
  <c r="F33" i="3"/>
  <c r="G33" i="3" s="1"/>
  <c r="D33" i="3"/>
  <c r="E33" i="3" s="1"/>
  <c r="F32" i="3"/>
  <c r="G32" i="3" s="1"/>
  <c r="D32" i="3"/>
  <c r="E32" i="3" s="1"/>
  <c r="B32" i="3"/>
  <c r="C32" i="3" s="1"/>
  <c r="F31" i="3"/>
  <c r="G31" i="3" s="1"/>
  <c r="D31" i="3"/>
  <c r="E31" i="3" s="1"/>
  <c r="B31" i="3"/>
  <c r="C31" i="3" s="1"/>
  <c r="F30" i="3"/>
  <c r="G30" i="3" s="1"/>
  <c r="D30" i="3"/>
  <c r="E30" i="3" s="1"/>
  <c r="B30" i="3"/>
  <c r="C30" i="3" s="1"/>
  <c r="F29" i="3"/>
  <c r="G29" i="3" s="1"/>
  <c r="D29" i="3"/>
  <c r="E29" i="3" s="1"/>
  <c r="B29" i="3"/>
  <c r="C29" i="3" s="1"/>
  <c r="F28" i="3"/>
  <c r="G28" i="3" s="1"/>
  <c r="D28" i="3"/>
  <c r="E28" i="3" s="1"/>
  <c r="B28" i="3"/>
  <c r="C28" i="3" s="1"/>
  <c r="F27" i="3"/>
  <c r="G27" i="3" s="1"/>
  <c r="D27" i="3"/>
  <c r="E27" i="3" s="1"/>
  <c r="B27" i="3"/>
  <c r="C27" i="3" s="1"/>
  <c r="F26" i="3"/>
  <c r="D26" i="3"/>
  <c r="B26" i="3"/>
  <c r="C20" i="3"/>
  <c r="B20" i="3"/>
  <c r="D20" i="3" s="1"/>
  <c r="C19" i="3"/>
  <c r="B19" i="3"/>
  <c r="D19" i="3" s="1"/>
  <c r="B8" i="5" s="1"/>
  <c r="C18" i="3"/>
  <c r="B18" i="3"/>
  <c r="D18" i="3" s="1"/>
  <c r="C8" i="3"/>
  <c r="B8" i="3"/>
  <c r="D8" i="3" s="1"/>
  <c r="B7" i="3"/>
  <c r="D7" i="3" s="1"/>
  <c r="P148" i="2"/>
  <c r="O148" i="2"/>
  <c r="N148" i="2"/>
  <c r="P147" i="2"/>
  <c r="O147" i="2"/>
  <c r="N147" i="2"/>
  <c r="P146" i="2"/>
  <c r="O146" i="2"/>
  <c r="N146" i="2"/>
  <c r="P145" i="2"/>
  <c r="O145" i="2"/>
  <c r="N145" i="2"/>
  <c r="P144" i="2"/>
  <c r="O144" i="2"/>
  <c r="N144" i="2"/>
  <c r="P142" i="2"/>
  <c r="O142" i="2"/>
  <c r="N142" i="2"/>
  <c r="P141" i="2"/>
  <c r="O141" i="2"/>
  <c r="N141" i="2"/>
  <c r="B13" i="3" s="1"/>
  <c r="P140" i="2"/>
  <c r="O140" i="2"/>
  <c r="N140" i="2"/>
  <c r="P139" i="2"/>
  <c r="O139" i="2"/>
  <c r="N139" i="2"/>
  <c r="P138" i="2"/>
  <c r="O138" i="2"/>
  <c r="N138" i="2"/>
  <c r="P137" i="2"/>
  <c r="O137" i="2"/>
  <c r="N137" i="2"/>
  <c r="P136" i="2"/>
  <c r="O136" i="2"/>
  <c r="N136" i="2"/>
  <c r="P135" i="2"/>
  <c r="O135" i="2"/>
  <c r="N135" i="2"/>
  <c r="P134" i="2"/>
  <c r="O134" i="2"/>
  <c r="N134" i="2"/>
  <c r="P133" i="2"/>
  <c r="O133" i="2"/>
  <c r="N133" i="2"/>
  <c r="P132" i="2"/>
  <c r="O132" i="2"/>
  <c r="N132" i="2"/>
  <c r="P131" i="2"/>
  <c r="O131" i="2"/>
  <c r="N131" i="2"/>
  <c r="P130" i="2"/>
  <c r="O130" i="2"/>
  <c r="N130" i="2"/>
  <c r="P129" i="2"/>
  <c r="O129" i="2"/>
  <c r="N129" i="2"/>
  <c r="P127" i="2"/>
  <c r="O127" i="2"/>
  <c r="N127" i="2"/>
  <c r="P126" i="2"/>
  <c r="O126" i="2"/>
  <c r="N126" i="2"/>
  <c r="P125" i="2"/>
  <c r="O125" i="2"/>
  <c r="N125" i="2"/>
  <c r="P124" i="2"/>
  <c r="O124" i="2"/>
  <c r="N124" i="2"/>
  <c r="P123" i="2"/>
  <c r="O123" i="2"/>
  <c r="N123" i="2"/>
  <c r="P122" i="2"/>
  <c r="O122" i="2"/>
  <c r="N122" i="2"/>
  <c r="P121" i="2"/>
  <c r="O121" i="2"/>
  <c r="N121" i="2"/>
  <c r="C17" i="3" s="1"/>
  <c r="P120" i="2"/>
  <c r="O120" i="2"/>
  <c r="N120" i="2"/>
  <c r="B17" i="3" s="1"/>
  <c r="D17" i="3" s="1"/>
  <c r="P119" i="2"/>
  <c r="O119" i="2"/>
  <c r="N119" i="2"/>
  <c r="C16" i="3" s="1"/>
  <c r="P118" i="2"/>
  <c r="O118" i="2"/>
  <c r="N118" i="2"/>
  <c r="B16" i="3" s="1"/>
  <c r="D16" i="3" s="1"/>
  <c r="P117" i="2"/>
  <c r="O117" i="2"/>
  <c r="K117" i="2"/>
  <c r="H117" i="2"/>
  <c r="N117" i="2" s="1"/>
  <c r="C15" i="3" s="1"/>
  <c r="E117" i="2"/>
  <c r="P116" i="2"/>
  <c r="O116" i="2"/>
  <c r="N116" i="2"/>
  <c r="B15" i="3" s="1"/>
  <c r="P115" i="2"/>
  <c r="O115" i="2"/>
  <c r="K115" i="2"/>
  <c r="H115" i="2"/>
  <c r="E115" i="2"/>
  <c r="P114" i="2"/>
  <c r="O114" i="2"/>
  <c r="N114" i="2"/>
  <c r="B14" i="3" s="1"/>
  <c r="P113" i="2"/>
  <c r="O113" i="2"/>
  <c r="N113" i="2"/>
  <c r="P112" i="2"/>
  <c r="O112" i="2"/>
  <c r="N112" i="2"/>
  <c r="P111" i="2"/>
  <c r="O111" i="2"/>
  <c r="N111" i="2"/>
  <c r="P110" i="2"/>
  <c r="O110" i="2"/>
  <c r="N110" i="2"/>
  <c r="P109" i="2"/>
  <c r="O109" i="2"/>
  <c r="N109" i="2"/>
  <c r="P108" i="2"/>
  <c r="O108" i="2"/>
  <c r="N108" i="2"/>
  <c r="P107" i="2"/>
  <c r="O107" i="2"/>
  <c r="N107" i="2"/>
  <c r="P106" i="2"/>
  <c r="O106" i="2"/>
  <c r="N106" i="2"/>
  <c r="P105" i="2"/>
  <c r="O105" i="2"/>
  <c r="N105" i="2"/>
  <c r="P104" i="2"/>
  <c r="O104" i="2"/>
  <c r="N104" i="2"/>
  <c r="P103" i="2"/>
  <c r="O103" i="2"/>
  <c r="N103" i="2"/>
  <c r="P102" i="2"/>
  <c r="O102" i="2"/>
  <c r="N102" i="2"/>
  <c r="P101" i="2"/>
  <c r="O101" i="2"/>
  <c r="N101" i="2"/>
  <c r="C12" i="3" s="1"/>
  <c r="P100" i="2"/>
  <c r="O100" i="2"/>
  <c r="N100" i="2"/>
  <c r="B12" i="3" s="1"/>
  <c r="D12" i="3" s="1"/>
  <c r="P99" i="2"/>
  <c r="O99" i="2"/>
  <c r="N99" i="2"/>
  <c r="C11" i="3" s="1"/>
  <c r="P98" i="2"/>
  <c r="O98" i="2"/>
  <c r="N98" i="2"/>
  <c r="B11" i="3" s="1"/>
  <c r="D11" i="3" s="1"/>
  <c r="P97" i="2"/>
  <c r="O97" i="2"/>
  <c r="N97" i="2"/>
  <c r="P96" i="2"/>
  <c r="O96" i="2"/>
  <c r="N96" i="2"/>
  <c r="P95" i="2"/>
  <c r="O95" i="2"/>
  <c r="N95" i="2"/>
  <c r="P94" i="2"/>
  <c r="O94" i="2"/>
  <c r="N94" i="2"/>
  <c r="P93" i="2"/>
  <c r="O93" i="2"/>
  <c r="N93" i="2"/>
  <c r="P92" i="2"/>
  <c r="O92" i="2"/>
  <c r="P91" i="2"/>
  <c r="O91" i="2"/>
  <c r="N91" i="2"/>
  <c r="C6" i="3" s="1"/>
  <c r="P90" i="2"/>
  <c r="O90" i="2"/>
  <c r="N90" i="2"/>
  <c r="B6" i="3" s="1"/>
  <c r="P88" i="2"/>
  <c r="O88" i="2"/>
  <c r="N88" i="2"/>
  <c r="P87" i="2"/>
  <c r="O87" i="2"/>
  <c r="N87" i="2"/>
  <c r="P86" i="2"/>
  <c r="O86" i="2"/>
  <c r="N86" i="2"/>
  <c r="P85" i="2"/>
  <c r="O85" i="2"/>
  <c r="N85" i="2"/>
  <c r="P84" i="2"/>
  <c r="O84" i="2"/>
  <c r="N84" i="2"/>
  <c r="P82" i="2"/>
  <c r="O82" i="2"/>
  <c r="N82" i="2"/>
  <c r="P81" i="2"/>
  <c r="O81" i="2"/>
  <c r="N81" i="2"/>
  <c r="P80" i="2"/>
  <c r="O80" i="2"/>
  <c r="N80" i="2"/>
  <c r="L80" i="2"/>
  <c r="F80" i="2"/>
  <c r="P79" i="2"/>
  <c r="O79" i="2"/>
  <c r="N79" i="2"/>
  <c r="L79" i="2"/>
  <c r="F79" i="2"/>
  <c r="P78" i="2"/>
  <c r="O78" i="2"/>
  <c r="N78" i="2"/>
  <c r="P77" i="2"/>
  <c r="O77" i="2"/>
  <c r="N77" i="2"/>
  <c r="P76" i="2"/>
  <c r="O76" i="2"/>
  <c r="N76" i="2"/>
  <c r="P75" i="2"/>
  <c r="O75" i="2"/>
  <c r="N75" i="2"/>
  <c r="P73" i="2"/>
  <c r="E58" i="5" s="1"/>
  <c r="O73" i="2"/>
  <c r="D58" i="5" s="1"/>
  <c r="N73" i="2"/>
  <c r="C58" i="5" s="1"/>
  <c r="P72" i="2"/>
  <c r="O72" i="2"/>
  <c r="N72" i="2"/>
  <c r="P71" i="2"/>
  <c r="O71" i="2"/>
  <c r="N71" i="2"/>
  <c r="P70" i="2"/>
  <c r="O70" i="2"/>
  <c r="N70" i="2"/>
  <c r="P69" i="2"/>
  <c r="O69" i="2"/>
  <c r="N69" i="2"/>
  <c r="P68" i="2"/>
  <c r="O68" i="2"/>
  <c r="N68" i="2"/>
  <c r="P67" i="2"/>
  <c r="O67" i="2"/>
  <c r="N67" i="2"/>
  <c r="P66" i="2"/>
  <c r="O66" i="2"/>
  <c r="N66" i="2"/>
  <c r="B15" i="5" s="1"/>
  <c r="P65" i="2"/>
  <c r="O65" i="2"/>
  <c r="N65" i="2"/>
  <c r="P64" i="2"/>
  <c r="O64" i="2"/>
  <c r="N64" i="2"/>
  <c r="P63" i="2"/>
  <c r="O63" i="2"/>
  <c r="N63" i="2"/>
  <c r="P62" i="2"/>
  <c r="O62" i="2"/>
  <c r="N62" i="2"/>
  <c r="B11" i="5" s="1"/>
  <c r="P61" i="2"/>
  <c r="O61" i="2"/>
  <c r="N61" i="2"/>
  <c r="P60" i="2"/>
  <c r="O60" i="2"/>
  <c r="N60" i="2"/>
  <c r="P59" i="2"/>
  <c r="O59" i="2"/>
  <c r="N59" i="2"/>
  <c r="B13" i="5" s="1"/>
  <c r="P57" i="2"/>
  <c r="O57" i="2"/>
  <c r="N57" i="2"/>
  <c r="P56" i="2"/>
  <c r="O56" i="2"/>
  <c r="N56" i="2"/>
  <c r="P55" i="2"/>
  <c r="O55" i="2"/>
  <c r="N55" i="2"/>
  <c r="P54" i="2"/>
  <c r="O54" i="2"/>
  <c r="N54" i="2"/>
  <c r="P53" i="2"/>
  <c r="O53" i="2"/>
  <c r="N53" i="2"/>
  <c r="P52" i="2"/>
  <c r="O52" i="2"/>
  <c r="N52" i="2"/>
  <c r="P51" i="2"/>
  <c r="O51" i="2"/>
  <c r="N51" i="2"/>
  <c r="P50" i="2"/>
  <c r="O50" i="2"/>
  <c r="N50" i="2"/>
  <c r="P49" i="2"/>
  <c r="O49" i="2"/>
  <c r="N49" i="2"/>
  <c r="P48" i="2"/>
  <c r="O48" i="2"/>
  <c r="N48" i="2"/>
  <c r="P47" i="2"/>
  <c r="O47" i="2"/>
  <c r="N47" i="2"/>
  <c r="P46" i="2"/>
  <c r="O46" i="2"/>
  <c r="N46" i="2"/>
  <c r="P45" i="2"/>
  <c r="O45" i="2"/>
  <c r="N45" i="2"/>
  <c r="P43" i="2"/>
  <c r="O43" i="2"/>
  <c r="N43" i="2"/>
  <c r="P42" i="2"/>
  <c r="O42" i="2"/>
  <c r="N42" i="2"/>
  <c r="P41" i="2"/>
  <c r="O41" i="2"/>
  <c r="N41" i="2"/>
  <c r="P40" i="2"/>
  <c r="O40" i="2"/>
  <c r="N40" i="2"/>
  <c r="P39" i="2"/>
  <c r="F53" i="3" s="1"/>
  <c r="O39" i="2"/>
  <c r="E53" i="3" s="1"/>
  <c r="N39" i="2"/>
  <c r="D53" i="3" s="1"/>
  <c r="N38" i="2"/>
  <c r="M38" i="2"/>
  <c r="L38" i="2"/>
  <c r="J38" i="2"/>
  <c r="I38" i="2"/>
  <c r="O38" i="2" s="1"/>
  <c r="G38" i="2"/>
  <c r="F38" i="2"/>
  <c r="N37" i="2"/>
  <c r="M37" i="2"/>
  <c r="L37" i="2"/>
  <c r="J37" i="2"/>
  <c r="I37" i="2"/>
  <c r="G37" i="2"/>
  <c r="F37" i="2"/>
  <c r="P36" i="2"/>
  <c r="O36" i="2"/>
  <c r="N36" i="2"/>
  <c r="M36" i="2"/>
  <c r="L36" i="2"/>
  <c r="J36" i="2"/>
  <c r="I36" i="2"/>
  <c r="G36" i="2"/>
  <c r="F36" i="2"/>
  <c r="N35" i="2"/>
  <c r="M35" i="2"/>
  <c r="L35" i="2"/>
  <c r="J35" i="2"/>
  <c r="P35" i="2" s="1"/>
  <c r="I35" i="2"/>
  <c r="O35" i="2" s="1"/>
  <c r="G35" i="2"/>
  <c r="F35" i="2"/>
  <c r="P33" i="2"/>
  <c r="O33" i="2"/>
  <c r="N33" i="2"/>
  <c r="P32" i="2"/>
  <c r="O32" i="2"/>
  <c r="N32" i="2"/>
  <c r="P31" i="2"/>
  <c r="O31" i="2"/>
  <c r="N31" i="2"/>
  <c r="P30" i="2"/>
  <c r="O30" i="2"/>
  <c r="N30" i="2"/>
  <c r="M29" i="2"/>
  <c r="L29" i="2"/>
  <c r="K29" i="2"/>
  <c r="J29" i="2"/>
  <c r="P29" i="2" s="1"/>
  <c r="I29" i="2"/>
  <c r="O29" i="2" s="1"/>
  <c r="H29" i="2"/>
  <c r="N29" i="2" s="1"/>
  <c r="G29" i="2"/>
  <c r="F29" i="2"/>
  <c r="E29" i="2"/>
  <c r="P28" i="2"/>
  <c r="O28" i="2"/>
  <c r="N28" i="2"/>
  <c r="P27" i="2"/>
  <c r="O27" i="2"/>
  <c r="N27" i="2"/>
  <c r="P26" i="2"/>
  <c r="O26" i="2"/>
  <c r="I7" i="6" s="1"/>
  <c r="N26" i="2"/>
  <c r="P25" i="2"/>
  <c r="O25" i="2"/>
  <c r="I8" i="6" s="1"/>
  <c r="N25" i="2"/>
  <c r="P23" i="2"/>
  <c r="O23" i="2"/>
  <c r="N23" i="2"/>
  <c r="M21" i="2"/>
  <c r="L21" i="2"/>
  <c r="K21" i="2"/>
  <c r="J21" i="2"/>
  <c r="P21" i="2" s="1"/>
  <c r="I21" i="2"/>
  <c r="O21" i="2" s="1"/>
  <c r="H21" i="2"/>
  <c r="N21" i="2" s="1"/>
  <c r="G21" i="2"/>
  <c r="F21" i="2"/>
  <c r="E21" i="2"/>
  <c r="M19" i="2"/>
  <c r="L19" i="2"/>
  <c r="K19" i="2"/>
  <c r="J19" i="2"/>
  <c r="P19" i="2" s="1"/>
  <c r="I19" i="2"/>
  <c r="O19" i="2" s="1"/>
  <c r="H19" i="2"/>
  <c r="N19" i="2" s="1"/>
  <c r="G19" i="2"/>
  <c r="F19" i="2"/>
  <c r="E19" i="2"/>
  <c r="P18" i="2"/>
  <c r="O18" i="2"/>
  <c r="N18" i="2"/>
  <c r="M17" i="2"/>
  <c r="L17" i="2"/>
  <c r="K17" i="2"/>
  <c r="J17" i="2"/>
  <c r="P17" i="2" s="1"/>
  <c r="I17" i="2"/>
  <c r="O17" i="2" s="1"/>
  <c r="H17" i="2"/>
  <c r="N17" i="2" s="1"/>
  <c r="G17" i="2"/>
  <c r="F17" i="2"/>
  <c r="E17" i="2"/>
  <c r="P16" i="2"/>
  <c r="O16" i="2"/>
  <c r="N16" i="2"/>
  <c r="P14" i="2"/>
  <c r="O14" i="2"/>
  <c r="N14" i="2"/>
  <c r="M13" i="2"/>
  <c r="L13" i="2"/>
  <c r="K13" i="2"/>
  <c r="J13" i="2"/>
  <c r="F13" i="2"/>
  <c r="E13" i="2"/>
  <c r="P12" i="2"/>
  <c r="O12" i="2"/>
  <c r="N12" i="2"/>
  <c r="P11" i="2"/>
  <c r="O11" i="2"/>
  <c r="N11" i="2"/>
  <c r="P10" i="2"/>
  <c r="O10" i="2"/>
  <c r="N10" i="2"/>
  <c r="P9" i="2"/>
  <c r="O9" i="2"/>
  <c r="N9" i="2"/>
  <c r="P8" i="2"/>
  <c r="O8" i="2"/>
  <c r="N8" i="2"/>
  <c r="P7" i="2"/>
  <c r="O7" i="2"/>
  <c r="N7" i="2"/>
  <c r="P6" i="2"/>
  <c r="N6" i="2"/>
  <c r="P5" i="2"/>
  <c r="O5" i="2"/>
  <c r="N5" i="2"/>
  <c r="F36" i="1"/>
  <c r="F35" i="1"/>
  <c r="F34" i="1"/>
  <c r="E34" i="1"/>
  <c r="D34" i="1"/>
  <c r="C34" i="1"/>
  <c r="D33" i="1"/>
  <c r="C33" i="1"/>
  <c r="E33" i="1" s="1"/>
  <c r="E25" i="1" s="1"/>
  <c r="E32" i="1"/>
  <c r="D25" i="1"/>
  <c r="C7" i="3" s="1"/>
  <c r="C25" i="1"/>
  <c r="E21" i="1"/>
  <c r="D21" i="1"/>
  <c r="E18" i="1"/>
  <c r="D13" i="3" s="1"/>
  <c r="D18" i="1"/>
  <c r="C13" i="3" s="1"/>
  <c r="C18" i="1"/>
  <c r="E17" i="1"/>
  <c r="E16" i="1"/>
  <c r="F15" i="1"/>
  <c r="E15" i="1"/>
  <c r="K97" i="2" s="1"/>
  <c r="D15" i="1"/>
  <c r="C15" i="1"/>
  <c r="F14" i="1"/>
  <c r="D14" i="1"/>
  <c r="C14" i="1"/>
  <c r="E14" i="1" s="1"/>
  <c r="E13" i="1"/>
  <c r="E12" i="1"/>
  <c r="E11" i="1"/>
  <c r="E10" i="1"/>
  <c r="D9" i="1"/>
  <c r="C9" i="1"/>
  <c r="E9" i="1" s="1"/>
  <c r="E8" i="1" s="1"/>
  <c r="D10" i="3" s="1"/>
  <c r="D8" i="1"/>
  <c r="C10" i="3" s="1"/>
  <c r="C8" i="1"/>
  <c r="E6" i="1"/>
  <c r="D6" i="1"/>
  <c r="F5" i="1"/>
  <c r="D5" i="1"/>
  <c r="C5" i="1"/>
  <c r="E5" i="1" s="1"/>
  <c r="F4" i="1"/>
  <c r="D4" i="1"/>
  <c r="C4" i="1"/>
  <c r="E4" i="1" s="1"/>
  <c r="E37" i="1" s="1"/>
  <c r="F12" i="6"/>
  <c r="C12" i="6"/>
  <c r="F11" i="6"/>
  <c r="C11" i="6"/>
  <c r="L10" i="6"/>
  <c r="K10" i="6"/>
  <c r="J10" i="6"/>
  <c r="I10" i="6"/>
  <c r="H10" i="6"/>
  <c r="G10" i="6"/>
  <c r="L9" i="6"/>
  <c r="K9" i="6"/>
  <c r="J9" i="6"/>
  <c r="I9" i="6"/>
  <c r="H9" i="6"/>
  <c r="G9" i="6"/>
  <c r="F6" i="6"/>
  <c r="E6" i="6"/>
  <c r="C6" i="6"/>
  <c r="F5" i="6"/>
  <c r="C5" i="6"/>
  <c r="E24" i="4" l="1"/>
  <c r="E23" i="4"/>
  <c r="F24" i="4"/>
  <c r="F23" i="4"/>
  <c r="H7" i="6"/>
  <c r="E56" i="3" s="1"/>
  <c r="G7" i="6"/>
  <c r="D10" i="7"/>
  <c r="E28" i="4"/>
  <c r="E32" i="4" s="1"/>
  <c r="H13" i="2"/>
  <c r="B10" i="7"/>
  <c r="H8" i="6"/>
  <c r="G8" i="6"/>
  <c r="J8" i="6" s="1"/>
  <c r="C10" i="7"/>
  <c r="F28" i="4"/>
  <c r="F25" i="4"/>
  <c r="I13" i="2"/>
  <c r="H6" i="6"/>
  <c r="K6" i="6" s="1"/>
  <c r="H5" i="6"/>
  <c r="K5" i="6" s="1"/>
  <c r="G15" i="6" s="1"/>
  <c r="H4" i="6"/>
  <c r="G6" i="6"/>
  <c r="J6" i="6" s="1"/>
  <c r="G5" i="6"/>
  <c r="J5" i="6" s="1"/>
  <c r="F15" i="6" s="1"/>
  <c r="G4" i="6"/>
  <c r="D28" i="4"/>
  <c r="D24" i="4"/>
  <c r="G13" i="2"/>
  <c r="D25" i="4"/>
  <c r="D23" i="4"/>
  <c r="C6" i="4" s="1"/>
  <c r="I6" i="6"/>
  <c r="L6" i="6" s="1"/>
  <c r="I5" i="6"/>
  <c r="L5" i="6" s="1"/>
  <c r="H15" i="6" s="1"/>
  <c r="I4" i="6"/>
  <c r="E75" i="4"/>
  <c r="C75" i="4"/>
  <c r="D75" i="4"/>
  <c r="B75" i="4"/>
  <c r="C74" i="4"/>
  <c r="D74" i="4"/>
  <c r="B74" i="4"/>
  <c r="E74" i="4"/>
  <c r="B73" i="4"/>
  <c r="D73" i="4"/>
  <c r="E73" i="4"/>
  <c r="C73" i="4"/>
  <c r="C72" i="4"/>
  <c r="E72" i="4"/>
  <c r="B72" i="4"/>
  <c r="D72" i="4"/>
  <c r="B71" i="4"/>
  <c r="C71" i="4"/>
  <c r="E71" i="4"/>
  <c r="D71" i="4"/>
  <c r="E65" i="4"/>
  <c r="E64" i="4"/>
  <c r="E63" i="4"/>
  <c r="E62" i="4"/>
  <c r="E61" i="4"/>
  <c r="D61" i="4"/>
  <c r="D65" i="4"/>
  <c r="D64" i="4"/>
  <c r="D63" i="4"/>
  <c r="D62" i="4"/>
  <c r="C64" i="4"/>
  <c r="C61" i="4"/>
  <c r="C65" i="4"/>
  <c r="C63" i="4"/>
  <c r="C62" i="4"/>
  <c r="B62" i="4"/>
  <c r="B64" i="4"/>
  <c r="B61" i="4"/>
  <c r="B63" i="4"/>
  <c r="B65" i="4"/>
  <c r="D37" i="5"/>
  <c r="D87" i="5"/>
  <c r="C37" i="5"/>
  <c r="C87" i="5"/>
  <c r="B37" i="5"/>
  <c r="B87" i="5"/>
  <c r="D88" i="5"/>
  <c r="C88" i="5"/>
  <c r="C39" i="5"/>
  <c r="B88" i="5"/>
  <c r="G26" i="3"/>
  <c r="E26" i="3"/>
  <c r="C26" i="3"/>
  <c r="N115" i="2"/>
  <c r="C14" i="3" s="1"/>
  <c r="D14" i="3" s="1"/>
  <c r="B6" i="5" s="1"/>
  <c r="B42" i="5" s="1"/>
  <c r="E36" i="4"/>
  <c r="F36" i="4"/>
  <c r="G36" i="4"/>
  <c r="E22" i="4"/>
  <c r="B22" i="4"/>
  <c r="D36" i="4"/>
  <c r="C36" i="4"/>
  <c r="B36" i="4"/>
  <c r="F14" i="3"/>
  <c r="C42" i="5"/>
  <c r="F15" i="3"/>
  <c r="D42" i="5"/>
  <c r="F12" i="3"/>
  <c r="F11" i="3"/>
  <c r="F7" i="3"/>
  <c r="F8" i="3"/>
  <c r="F9" i="3"/>
  <c r="F10" i="3"/>
  <c r="B14" i="5"/>
  <c r="D21" i="5"/>
  <c r="D22" i="5" s="1"/>
  <c r="D44" i="5" s="1"/>
  <c r="B21" i="5"/>
  <c r="B22" i="5" s="1"/>
  <c r="B44" i="5" s="1"/>
  <c r="B23" i="5"/>
  <c r="C57" i="5" s="1"/>
  <c r="C23" i="5"/>
  <c r="D57" i="5" s="1"/>
  <c r="D23" i="5"/>
  <c r="E57" i="5" s="1"/>
  <c r="B20" i="5"/>
  <c r="B24" i="5" s="1"/>
  <c r="C20" i="5" s="1"/>
  <c r="C24" i="5" s="1"/>
  <c r="D20" i="5" s="1"/>
  <c r="D24" i="5" s="1"/>
  <c r="C21" i="5"/>
  <c r="C22" i="5" s="1"/>
  <c r="C44" i="5" s="1"/>
  <c r="B12" i="5"/>
  <c r="G62" i="4"/>
  <c r="G61" i="4"/>
  <c r="P38" i="2"/>
  <c r="L8" i="6" s="1"/>
  <c r="G63" i="4"/>
  <c r="G64" i="4"/>
  <c r="G65" i="4"/>
  <c r="J27" i="4"/>
  <c r="J29" i="4"/>
  <c r="J32" i="4" s="1"/>
  <c r="I29" i="4"/>
  <c r="I32" i="4" s="1"/>
  <c r="E9" i="4" s="1"/>
  <c r="I27" i="4"/>
  <c r="G27" i="4"/>
  <c r="G29" i="4"/>
  <c r="G32" i="4" s="1"/>
  <c r="P37" i="2"/>
  <c r="L7" i="6" s="1"/>
  <c r="F27" i="4"/>
  <c r="O37" i="2"/>
  <c r="F29" i="4"/>
  <c r="D29" i="4"/>
  <c r="D27" i="4"/>
  <c r="C27" i="4"/>
  <c r="C29" i="4"/>
  <c r="C32" i="4" s="1"/>
  <c r="I12" i="6"/>
  <c r="L12" i="6" s="1"/>
  <c r="I11" i="6"/>
  <c r="L11" i="6" s="1"/>
  <c r="H11" i="6"/>
  <c r="K11" i="6" s="1"/>
  <c r="H12" i="6"/>
  <c r="K12" i="6" s="1"/>
  <c r="G11" i="6"/>
  <c r="J11" i="6" s="1"/>
  <c r="C9" i="6"/>
  <c r="F9" i="6" s="1"/>
  <c r="C10" i="6"/>
  <c r="F10" i="6" s="1"/>
  <c r="G12" i="6"/>
  <c r="J12" i="6" s="1"/>
  <c r="M15" i="2"/>
  <c r="J33" i="4"/>
  <c r="L15" i="2"/>
  <c r="I33" i="4"/>
  <c r="H33" i="4"/>
  <c r="H35" i="4" s="1"/>
  <c r="K15" i="2"/>
  <c r="K22" i="2" s="1"/>
  <c r="K20" i="2" s="1"/>
  <c r="P13" i="2"/>
  <c r="G33" i="4"/>
  <c r="J15" i="2"/>
  <c r="C33" i="4"/>
  <c r="F15" i="2"/>
  <c r="B33" i="4"/>
  <c r="E15" i="2"/>
  <c r="E22" i="2" s="1"/>
  <c r="E20" i="2" s="1"/>
  <c r="F47" i="3"/>
  <c r="F57" i="3"/>
  <c r="D7" i="7"/>
  <c r="B44" i="7" s="1"/>
  <c r="D8" i="7"/>
  <c r="D9" i="7"/>
  <c r="C44" i="7" s="1"/>
  <c r="F51" i="3"/>
  <c r="F48" i="3"/>
  <c r="F49" i="3"/>
  <c r="F52" i="3"/>
  <c r="E52" i="3"/>
  <c r="E48" i="3"/>
  <c r="C9" i="7"/>
  <c r="C43" i="7" s="1"/>
  <c r="C8" i="7"/>
  <c r="E49" i="3"/>
  <c r="E51" i="3"/>
  <c r="E47" i="3"/>
  <c r="C7" i="7"/>
  <c r="B43" i="7" s="1"/>
  <c r="E57" i="3"/>
  <c r="B7" i="7"/>
  <c r="B42" i="7" s="1"/>
  <c r="D47" i="3"/>
  <c r="D48" i="3"/>
  <c r="D49" i="3"/>
  <c r="D52" i="3"/>
  <c r="B9" i="7"/>
  <c r="C42" i="7" s="1"/>
  <c r="B8" i="7"/>
  <c r="D57" i="3"/>
  <c r="D51" i="3"/>
  <c r="G37" i="3"/>
  <c r="G38" i="3"/>
  <c r="E38" i="3"/>
  <c r="E37" i="3"/>
  <c r="E36" i="3" s="1"/>
  <c r="C37" i="3"/>
  <c r="C38" i="3"/>
  <c r="E83" i="2"/>
  <c r="B34" i="4" s="1"/>
  <c r="K83" i="2"/>
  <c r="H34" i="4" s="1"/>
  <c r="H41" i="4" s="1"/>
  <c r="L83" i="2"/>
  <c r="I34" i="4" s="1"/>
  <c r="I41" i="4" s="1"/>
  <c r="J83" i="2"/>
  <c r="M83" i="2"/>
  <c r="J34" i="4" s="1"/>
  <c r="J41" i="4" s="1"/>
  <c r="I83" i="2"/>
  <c r="H83" i="2"/>
  <c r="G83" i="2"/>
  <c r="D34" i="4" s="1"/>
  <c r="F83" i="2"/>
  <c r="C34" i="4" s="1"/>
  <c r="C41" i="4" s="1"/>
  <c r="H22" i="4"/>
  <c r="H36" i="4"/>
  <c r="I36" i="4"/>
  <c r="J36" i="4"/>
  <c r="D9" i="3"/>
  <c r="B7" i="5" s="1"/>
  <c r="C9" i="3"/>
  <c r="H18" i="6"/>
  <c r="G18" i="6"/>
  <c r="F18" i="6"/>
  <c r="H17" i="6"/>
  <c r="G17" i="6"/>
  <c r="F17" i="6"/>
  <c r="F56" i="3"/>
  <c r="D6" i="3"/>
  <c r="K8" i="6"/>
  <c r="D15" i="3"/>
  <c r="D32" i="4" l="1"/>
  <c r="C9" i="4" s="1"/>
  <c r="K7" i="6"/>
  <c r="J7" i="6"/>
  <c r="D56" i="3"/>
  <c r="H15" i="2"/>
  <c r="E33" i="4"/>
  <c r="N13" i="2"/>
  <c r="F32" i="4"/>
  <c r="D9" i="4" s="1"/>
  <c r="O13" i="2"/>
  <c r="F33" i="4"/>
  <c r="I15" i="2"/>
  <c r="G15" i="2"/>
  <c r="G22" i="2" s="1"/>
  <c r="G20" i="2" s="1"/>
  <c r="D33" i="4"/>
  <c r="H37" i="4"/>
  <c r="G71" i="4"/>
  <c r="G9" i="7"/>
  <c r="G73" i="4"/>
  <c r="G74" i="4"/>
  <c r="G75" i="4"/>
  <c r="G72" i="4"/>
  <c r="I11" i="7"/>
  <c r="D36" i="5"/>
  <c r="C36" i="5"/>
  <c r="B36" i="5"/>
  <c r="L51" i="4"/>
  <c r="A51" i="4"/>
  <c r="J62" i="4"/>
  <c r="K62" i="4"/>
  <c r="I62" i="4"/>
  <c r="H62" i="4"/>
  <c r="J61" i="4"/>
  <c r="I61" i="4"/>
  <c r="K61" i="4"/>
  <c r="H61" i="4"/>
  <c r="I63" i="4"/>
  <c r="K63" i="4"/>
  <c r="J63" i="4"/>
  <c r="H63" i="4"/>
  <c r="I64" i="4"/>
  <c r="K64" i="4"/>
  <c r="H64" i="4"/>
  <c r="J64" i="4"/>
  <c r="H65" i="4"/>
  <c r="K65" i="4"/>
  <c r="J65" i="4"/>
  <c r="I65" i="4"/>
  <c r="H19" i="6"/>
  <c r="D32" i="5" s="1"/>
  <c r="B38" i="7" s="1"/>
  <c r="G19" i="6"/>
  <c r="C32" i="5" s="1"/>
  <c r="F19" i="6"/>
  <c r="B32" i="5" s="1"/>
  <c r="P15" i="2"/>
  <c r="P83" i="2"/>
  <c r="F34" i="3" s="1"/>
  <c r="G34" i="4"/>
  <c r="O83" i="2"/>
  <c r="D34" i="3" s="1"/>
  <c r="F34" i="4"/>
  <c r="N83" i="2"/>
  <c r="B34" i="3" s="1"/>
  <c r="E34" i="4"/>
  <c r="Q51" i="4"/>
  <c r="H16" i="6"/>
  <c r="G16" i="6"/>
  <c r="F16" i="6"/>
  <c r="D30" i="5"/>
  <c r="H21" i="6"/>
  <c r="F50" i="3"/>
  <c r="G23" i="6"/>
  <c r="G24" i="6"/>
  <c r="E50" i="3"/>
  <c r="G20" i="6"/>
  <c r="G21" i="6"/>
  <c r="C30" i="5"/>
  <c r="B30" i="5"/>
  <c r="F21" i="6"/>
  <c r="F20" i="6"/>
  <c r="F23" i="6"/>
  <c r="F24" i="6"/>
  <c r="D50" i="3"/>
  <c r="J35" i="4"/>
  <c r="I35" i="4"/>
  <c r="I37" i="4" s="1"/>
  <c r="C35" i="4"/>
  <c r="C37" i="4" s="1"/>
  <c r="M22" i="2"/>
  <c r="M20" i="2" s="1"/>
  <c r="L22" i="2"/>
  <c r="L20" i="2" s="1"/>
  <c r="F22" i="2"/>
  <c r="F20" i="2" s="1"/>
  <c r="G36" i="3"/>
  <c r="D39" i="5" s="1"/>
  <c r="C36" i="3"/>
  <c r="B39" i="5" s="1"/>
  <c r="D41" i="4"/>
  <c r="D21" i="3"/>
  <c r="B41" i="4"/>
  <c r="B35" i="4"/>
  <c r="H22" i="2" l="1"/>
  <c r="N15" i="2"/>
  <c r="D35" i="4"/>
  <c r="J22" i="2"/>
  <c r="P22" i="2" s="1"/>
  <c r="O15" i="2"/>
  <c r="I22" i="2"/>
  <c r="O22" i="2" s="1"/>
  <c r="H23" i="6"/>
  <c r="H24" i="6"/>
  <c r="H26" i="6" s="1"/>
  <c r="H20" i="6"/>
  <c r="O5" i="6" s="1"/>
  <c r="H38" i="4"/>
  <c r="H39" i="4" s="1"/>
  <c r="H42" i="4"/>
  <c r="J20" i="2"/>
  <c r="P20" i="2" s="1"/>
  <c r="I20" i="2"/>
  <c r="O20" i="2" s="1"/>
  <c r="N22" i="2"/>
  <c r="H20" i="2"/>
  <c r="N20" i="2" s="1"/>
  <c r="F42" i="3"/>
  <c r="G34" i="3"/>
  <c r="D42" i="3"/>
  <c r="E34" i="3"/>
  <c r="B42" i="3"/>
  <c r="C34" i="3"/>
  <c r="E35" i="4"/>
  <c r="E41" i="4"/>
  <c r="F54" i="3"/>
  <c r="D31" i="5"/>
  <c r="H22" i="6"/>
  <c r="E54" i="3"/>
  <c r="G22" i="6"/>
  <c r="C31" i="5"/>
  <c r="C94" i="5" s="1"/>
  <c r="C96" i="5" s="1"/>
  <c r="D54" i="3"/>
  <c r="B31" i="5"/>
  <c r="B94" i="5" s="1"/>
  <c r="B96" i="5" s="1"/>
  <c r="F22" i="6"/>
  <c r="B36" i="7"/>
  <c r="D93" i="5"/>
  <c r="D95" i="5" s="1"/>
  <c r="D12" i="7"/>
  <c r="O9" i="6"/>
  <c r="G26" i="6"/>
  <c r="C12" i="7"/>
  <c r="N8" i="6"/>
  <c r="N5" i="6"/>
  <c r="N9" i="6"/>
  <c r="N10" i="6"/>
  <c r="N12" i="6"/>
  <c r="N6" i="6"/>
  <c r="C29" i="5"/>
  <c r="G25" i="6"/>
  <c r="G27" i="6"/>
  <c r="N4" i="6"/>
  <c r="E55" i="3"/>
  <c r="C93" i="5"/>
  <c r="C95" i="5" s="1"/>
  <c r="B93" i="5"/>
  <c r="B95" i="5" s="1"/>
  <c r="M5" i="6"/>
  <c r="M9" i="6"/>
  <c r="M10" i="6"/>
  <c r="M12" i="6"/>
  <c r="M6" i="6"/>
  <c r="M8" i="6"/>
  <c r="F27" i="6"/>
  <c r="M4" i="6"/>
  <c r="D55" i="3"/>
  <c r="B29" i="5"/>
  <c r="F26" i="6"/>
  <c r="B12" i="7"/>
  <c r="I38" i="4"/>
  <c r="I39" i="4" s="1"/>
  <c r="I42" i="4"/>
  <c r="C38" i="4"/>
  <c r="C39" i="4"/>
  <c r="C42" i="4"/>
  <c r="D62" i="3"/>
  <c r="B5" i="5"/>
  <c r="B37" i="4"/>
  <c r="G41" i="4"/>
  <c r="G35" i="4"/>
  <c r="G37" i="4" s="1"/>
  <c r="F41" i="4"/>
  <c r="F35" i="4"/>
  <c r="F37" i="4" s="1"/>
  <c r="N11" i="6"/>
  <c r="N7" i="6"/>
  <c r="M11" i="6"/>
  <c r="M7" i="6"/>
  <c r="J37" i="4"/>
  <c r="E10" i="4"/>
  <c r="D37" i="4" l="1"/>
  <c r="C10" i="4"/>
  <c r="O10" i="6"/>
  <c r="O12" i="6"/>
  <c r="O8" i="6"/>
  <c r="O6" i="6"/>
  <c r="H27" i="6"/>
  <c r="F55" i="3"/>
  <c r="F58" i="3" s="1"/>
  <c r="D29" i="5"/>
  <c r="D11" i="7" s="1"/>
  <c r="B32" i="7" s="1"/>
  <c r="H25" i="6"/>
  <c r="O4" i="6"/>
  <c r="O11" i="6"/>
  <c r="O7" i="6"/>
  <c r="H44" i="4"/>
  <c r="H43" i="4"/>
  <c r="R51" i="4"/>
  <c r="H51" i="4"/>
  <c r="G42" i="3"/>
  <c r="D38" i="5"/>
  <c r="E42" i="3"/>
  <c r="C38" i="5"/>
  <c r="C42" i="3"/>
  <c r="B38" i="5"/>
  <c r="D10" i="4"/>
  <c r="E37" i="4"/>
  <c r="D94" i="5"/>
  <c r="D96" i="5" s="1"/>
  <c r="B37" i="7"/>
  <c r="C11" i="7"/>
  <c r="B31" i="7" s="1"/>
  <c r="B11" i="7"/>
  <c r="B30" i="7" s="1"/>
  <c r="I43" i="4"/>
  <c r="I51" i="4"/>
  <c r="S51" i="4"/>
  <c r="C43" i="4"/>
  <c r="C51" i="4"/>
  <c r="B9" i="5"/>
  <c r="B55" i="5" s="1"/>
  <c r="B10" i="5"/>
  <c r="B56" i="5" s="1"/>
  <c r="B53" i="5"/>
  <c r="B60" i="5" s="1"/>
  <c r="B61" i="5" s="1"/>
  <c r="B62" i="5"/>
  <c r="B38" i="4"/>
  <c r="B39" i="4"/>
  <c r="B42" i="4"/>
  <c r="G42" i="4"/>
  <c r="G38" i="4"/>
  <c r="G39" i="4" s="1"/>
  <c r="F42" i="4"/>
  <c r="F38" i="4"/>
  <c r="F39" i="4" s="1"/>
  <c r="J42" i="4"/>
  <c r="J38" i="4"/>
  <c r="J39" i="4" s="1"/>
  <c r="E11" i="4" s="1"/>
  <c r="D58" i="3"/>
  <c r="E58" i="3"/>
  <c r="D42" i="4" l="1"/>
  <c r="D38" i="4"/>
  <c r="D39" i="4" s="1"/>
  <c r="C11" i="4" s="1"/>
  <c r="I44" i="4"/>
  <c r="H46" i="4"/>
  <c r="E12" i="4" s="1"/>
  <c r="H45" i="4"/>
  <c r="I45" i="4" s="1"/>
  <c r="J45" i="4" s="1"/>
  <c r="E59" i="5"/>
  <c r="F63" i="3"/>
  <c r="D59" i="5"/>
  <c r="E63" i="3"/>
  <c r="C59" i="5"/>
  <c r="D63" i="3"/>
  <c r="E38" i="4"/>
  <c r="E39" i="4" s="1"/>
  <c r="D11" i="4" s="1"/>
  <c r="E42" i="4"/>
  <c r="B63" i="5"/>
  <c r="B65" i="5" s="1"/>
  <c r="B64" i="5"/>
  <c r="B44" i="4"/>
  <c r="B43" i="4"/>
  <c r="B51" i="4"/>
  <c r="G43" i="4"/>
  <c r="G51" i="4"/>
  <c r="O51" i="4"/>
  <c r="F43" i="4"/>
  <c r="N51" i="4"/>
  <c r="F51" i="4"/>
  <c r="J43" i="4"/>
  <c r="J51" i="4"/>
  <c r="T51" i="4"/>
  <c r="D64" i="3"/>
  <c r="B33" i="5"/>
  <c r="B34" i="5" s="1"/>
  <c r="F64" i="3"/>
  <c r="D33" i="5"/>
  <c r="E64" i="3"/>
  <c r="C33" i="5"/>
  <c r="C34" i="5" s="1"/>
  <c r="B82" i="5"/>
  <c r="B81" i="5"/>
  <c r="D43" i="4" l="1"/>
  <c r="B46" i="4" s="1"/>
  <c r="C12" i="4" s="1"/>
  <c r="D51" i="4"/>
  <c r="F65" i="3"/>
  <c r="D13" i="7" s="1"/>
  <c r="C32" i="7" s="1"/>
  <c r="E65" i="3"/>
  <c r="C13" i="7" s="1"/>
  <c r="C31" i="7" s="1"/>
  <c r="D65" i="3"/>
  <c r="B13" i="7" s="1"/>
  <c r="C30" i="7" s="1"/>
  <c r="D34" i="5"/>
  <c r="B80" i="5"/>
  <c r="E44" i="4"/>
  <c r="E43" i="4"/>
  <c r="E51" i="4"/>
  <c r="M51" i="4"/>
  <c r="C44" i="4"/>
  <c r="B45" i="4"/>
  <c r="C45" i="4" s="1"/>
  <c r="B14" i="7"/>
  <c r="B40" i="5"/>
  <c r="B35" i="5"/>
  <c r="C40" i="5"/>
  <c r="C14" i="7"/>
  <c r="C35" i="5"/>
  <c r="J44" i="4"/>
  <c r="H49" i="4"/>
  <c r="E15" i="4" s="1"/>
  <c r="D45" i="4" l="1"/>
  <c r="D40" i="5"/>
  <c r="D14" i="7"/>
  <c r="D35" i="5"/>
  <c r="F44" i="4"/>
  <c r="E46" i="4"/>
  <c r="D12" i="4" s="1"/>
  <c r="E45" i="4"/>
  <c r="F45" i="4" s="1"/>
  <c r="G45" i="4" s="1"/>
  <c r="B41" i="5"/>
  <c r="B15" i="7"/>
  <c r="B43" i="5"/>
  <c r="B90" i="5"/>
  <c r="B92" i="5" s="1"/>
  <c r="B89" i="5"/>
  <c r="B91" i="5" s="1"/>
  <c r="C41" i="5"/>
  <c r="C15" i="7"/>
  <c r="C43" i="5"/>
  <c r="C90" i="5"/>
  <c r="C92" i="5" s="1"/>
  <c r="C89" i="5"/>
  <c r="C91" i="5" s="1"/>
  <c r="H47" i="4"/>
  <c r="E13" i="4" s="1"/>
  <c r="H48" i="4"/>
  <c r="E14" i="4" s="1"/>
  <c r="D44" i="4"/>
  <c r="B49" i="4"/>
  <c r="C15" i="4" s="1"/>
  <c r="K73" i="4" l="1"/>
  <c r="J71" i="4"/>
  <c r="H73" i="4"/>
  <c r="K71" i="4"/>
  <c r="H72" i="4"/>
  <c r="I73" i="4"/>
  <c r="K72" i="4"/>
  <c r="D43" i="5"/>
  <c r="D15" i="7"/>
  <c r="D41" i="5"/>
  <c r="B76" i="5" s="1"/>
  <c r="H75" i="4"/>
  <c r="J75" i="4"/>
  <c r="J74" i="4"/>
  <c r="I72" i="4"/>
  <c r="K74" i="4"/>
  <c r="J72" i="4"/>
  <c r="I71" i="4"/>
  <c r="D90" i="5"/>
  <c r="B75" i="5"/>
  <c r="K75" i="4"/>
  <c r="I75" i="4"/>
  <c r="I74" i="4"/>
  <c r="H71" i="4"/>
  <c r="J73" i="4"/>
  <c r="D89" i="5"/>
  <c r="H74" i="4"/>
  <c r="B45" i="5"/>
  <c r="C62" i="5"/>
  <c r="C45" i="5"/>
  <c r="D62" i="5"/>
  <c r="D63" i="5" s="1"/>
  <c r="B47" i="4"/>
  <c r="C13" i="4" s="1"/>
  <c r="B48" i="4"/>
  <c r="C14" i="4" s="1"/>
  <c r="G44" i="4"/>
  <c r="E49" i="4" s="1"/>
  <c r="D15" i="4" s="1"/>
  <c r="G12" i="7" l="1"/>
  <c r="D92" i="5"/>
  <c r="I12" i="7" s="1"/>
  <c r="E62" i="5"/>
  <c r="E63" i="5" s="1"/>
  <c r="D45" i="5"/>
  <c r="D46" i="5" s="1"/>
  <c r="D47" i="5" s="1"/>
  <c r="I9" i="7"/>
  <c r="D91" i="5"/>
  <c r="G10" i="7" s="1"/>
  <c r="B46" i="5"/>
  <c r="B47" i="5" s="1"/>
  <c r="C64" i="5"/>
  <c r="D64" i="5" s="1"/>
  <c r="B70" i="5" a="1"/>
  <c r="B70" i="5" s="1"/>
  <c r="C63" i="5"/>
  <c r="C65" i="5" s="1"/>
  <c r="D65" i="5" s="1"/>
  <c r="C46" i="5"/>
  <c r="C47" i="5" s="1"/>
  <c r="E48" i="4"/>
  <c r="D14" i="4" s="1"/>
  <c r="E47" i="4"/>
  <c r="D13" i="4" s="1"/>
  <c r="E64" i="5" l="1"/>
  <c r="E65" i="5"/>
  <c r="B74" i="5"/>
  <c r="B48" i="5"/>
  <c r="C54" i="5"/>
  <c r="C60" i="5" s="1"/>
  <c r="B16" i="7"/>
  <c r="E70" i="5"/>
  <c r="D48" i="5"/>
  <c r="B77" i="5" s="1"/>
  <c r="E54" i="5"/>
  <c r="E60" i="5" s="1"/>
  <c r="D17" i="7" s="1"/>
  <c r="B50" i="7" s="1"/>
  <c r="D16" i="7"/>
  <c r="C48" i="5"/>
  <c r="C16" i="7"/>
  <c r="D54" i="5"/>
  <c r="D60" i="5" s="1"/>
  <c r="C17" i="7" s="1"/>
  <c r="B49" i="7" s="1"/>
  <c r="B71" i="5" l="1"/>
  <c r="B72" i="5"/>
  <c r="D23" i="7"/>
  <c r="B73" i="5"/>
  <c r="E73" i="5"/>
  <c r="C61" i="5"/>
  <c r="B78" i="5"/>
  <c r="B17" i="7"/>
  <c r="B48" i="7" s="1"/>
  <c r="D22" i="7" l="1"/>
  <c r="E71" i="5"/>
  <c r="E72" i="5"/>
  <c r="B18" i="7"/>
  <c r="C48" i="7" s="1"/>
  <c r="D61" i="5"/>
  <c r="I10" i="7"/>
  <c r="B79" i="5"/>
  <c r="G11" i="7" s="1"/>
  <c r="E61" i="5" l="1"/>
  <c r="C18" i="7"/>
  <c r="C49" i="7" s="1"/>
  <c r="D25" i="7" l="1"/>
  <c r="D24" i="7"/>
  <c r="D18" i="7"/>
  <c r="C50" i="7" s="1"/>
</calcChain>
</file>

<file path=xl/sharedStrings.xml><?xml version="1.0" encoding="utf-8"?>
<sst xmlns="http://schemas.openxmlformats.org/spreadsheetml/2006/main" count="1536" uniqueCount="721">
  <si>
    <t>DIA+ -  DANH MỤC ĐẦU TƯ</t>
  </si>
  <si>
    <t>STT</t>
  </si>
  <si>
    <t>Danh mục</t>
  </si>
  <si>
    <t>Số lượng</t>
  </si>
  <si>
    <t>Đơn giá</t>
  </si>
  <si>
    <t>Thành tiền</t>
  </si>
  <si>
    <t>Thời gian sử dụng</t>
  </si>
  <si>
    <t>Khấu hao / phân bổ</t>
  </si>
  <si>
    <t>Ghi chú</t>
  </si>
  <si>
    <t>Laptop Lenovo LOQ</t>
  </si>
  <si>
    <t>Có</t>
  </si>
  <si>
    <t>Mua 5 Laptop cho công ty (Chi 1 lần)</t>
  </si>
  <si>
    <t>Điện thoại Iphone/demo test</t>
  </si>
  <si>
    <t>Giá ngày 20/07/2026 tham khảo tại CellphoneS</t>
  </si>
  <si>
    <t>Lương đội ngũ công nghệ</t>
  </si>
  <si>
    <t>30.000.000đ/tháng</t>
  </si>
  <si>
    <t xml:space="preserve">Thuê mặt bằng văn phòng co - working </t>
  </si>
  <si>
    <t xml:space="preserve">Năm đầu chưa thuê mặt bằng </t>
  </si>
  <si>
    <t>Bảo mật và lưu trữ thông tin</t>
  </si>
  <si>
    <t>- Bảo mật Đám mây (Cloudflare Pro/WAF)</t>
  </si>
  <si>
    <t>1,0 năm</t>
  </si>
  <si>
    <t>Giá được tham khảo tại trang web cloudflare.com với gói Pro $240/năm tương đương $20/tháng và tỷ giá được xác định theo ngày 20/07/2026 với 1 USD = 26.940 VND</t>
  </si>
  <si>
    <t xml:space="preserve">Note: 
- Do thuê mặt bằng là Co - working nó sẽ bao hàm hết, 
không cần trả phí điện nước hay mạng.  </t>
  </si>
  <si>
    <t>- Vercel Pro</t>
  </si>
  <si>
    <t>Hosting cho Frontend (React/PWA)</t>
  </si>
  <si>
    <t>- Render / AWS EC2</t>
  </si>
  <si>
    <t>Hosting cho Backend (Node.js)</t>
  </si>
  <si>
    <t>- Supabase (Pro)</t>
  </si>
  <si>
    <t>Database PostgreSQL lưu bệnh án bảo mật</t>
  </si>
  <si>
    <t>- AWS S3</t>
  </si>
  <si>
    <t xml:space="preserve"> lưu trữ ảnh đơn thuốc</t>
  </si>
  <si>
    <t xml:space="preserve">Bản quyền Microsoft 365 Family chính hãng (có AI Copilot) </t>
  </si>
  <si>
    <t>Tích hợp AI</t>
  </si>
  <si>
    <t>- AI của Google Pro (đã bao gồm VAT)</t>
  </si>
  <si>
    <t>Giá được giảm khi sử dụng năm đầu, giá sau đó là 5.555.55 6 ₫/năm</t>
  </si>
  <si>
    <t>- Claude Team (Standard seat) (đã bao gồm VAT)</t>
  </si>
  <si>
    <t>Giá được tham khảo tại trang webclaude.com với gói Team $240/năm tương đương $20/tháng và tỷ giá được xác định theo ngày 20/07/2026 với 1 USD = 26.940 VND</t>
  </si>
  <si>
    <t>Tư vấn pháp lý và đăng ký kinh doanh</t>
  </si>
  <si>
    <t>Không</t>
  </si>
  <si>
    <t>- Thuê đơn vị hỗ trợ đăng ký thành lập doanh 
nghiệp đầy đủ (đã bao gồm ký quỹ ngân hàng)</t>
  </si>
  <si>
    <t>0,0 năm</t>
  </si>
  <si>
    <t>Đã bao trọn gói, ký quỹ và thuê địa chỉ</t>
  </si>
  <si>
    <t>- Kế toán dịch vụ (phí 1 tháng)</t>
  </si>
  <si>
    <t>Báo cáo hàng tháng</t>
  </si>
  <si>
    <t>- Đăng ký sở hữu trí tuệ (nhãn hiệu)</t>
  </si>
  <si>
    <t>Đã bao gồm phí đăng ký và 
thuê Đại lý sở hữu công nghiệp</t>
  </si>
  <si>
    <t>- Tư vấn pháp lý y tế</t>
  </si>
  <si>
    <t xml:space="preserve">Chính sách dữ liệu y tế (HIPAA/VN) </t>
  </si>
  <si>
    <t>- Đăng ký bản quyền phần mềm app</t>
  </si>
  <si>
    <t>Thuê dịch vụ, giá tham khảo tại Luật Trí Nam</t>
  </si>
  <si>
    <t>- Giấy phép Thương mại điện tử (Bộ Công Thương)</t>
  </si>
  <si>
    <t>Thuê dịch vụ soạn hồ sơ</t>
  </si>
  <si>
    <t>Hạ tầng công nghệ</t>
  </si>
  <si>
    <t>có</t>
  </si>
  <si>
    <t>- SendGrid / Resend Gói Essentials (50K email/tháng)</t>
  </si>
  <si>
    <t>Hệ thống gửi Email OTP tự động</t>
  </si>
  <si>
    <t>- Zalo ZNS / SMS</t>
  </si>
  <si>
    <t>1. Phí đăng ký thương hiệu chính thống bảo mật y tế: ~ 600.000đ/năm
2. Ước tính giá tin nhắn 1 năm: 50.000 tin / tháng ~150.600.000đ/năm</t>
  </si>
  <si>
    <t>- Apple Developer</t>
  </si>
  <si>
    <t>Tài khoản App Store (Thanh toán năm)</t>
  </si>
  <si>
    <t>- Google Play Console</t>
  </si>
  <si>
    <t>Tài khoản CH Play (Đóng 1 lần vĩnh viễn)</t>
  </si>
  <si>
    <t>- Tên miền (domain)</t>
  </si>
  <si>
    <t>diaplus.vn / diaplus.app</t>
  </si>
  <si>
    <t>- Email workspace</t>
  </si>
  <si>
    <t>Email doanh nghiệp (vd: contact@diaplus.vn)</t>
  </si>
  <si>
    <t>- GitHub Team/Pro</t>
  </si>
  <si>
    <t>Quản lý mã nguồn nhóm</t>
  </si>
  <si>
    <t>- Thiết kế UI/UX - Loveable</t>
  </si>
  <si>
    <t>Thiết kế UI/UX</t>
  </si>
  <si>
    <t xml:space="preserve">Dự phòng ban đầu - dự trù chi phí phát sinh </t>
  </si>
  <si>
    <t>kHÔNG</t>
  </si>
  <si>
    <t>- Phát triển MVP</t>
  </si>
  <si>
    <t>Sản phẩm khả dụng tối thiểu)</t>
  </si>
  <si>
    <t>- Backend và cơ sở dữ liệu</t>
  </si>
  <si>
    <t>Bảo vệ thông tin bệnh nhân và Tối ưu chi phí &amp; Hiệu năng</t>
  </si>
  <si>
    <t>TỔNG DANH MỤC ĐẦU TƯ CHI TIẾT</t>
  </si>
  <si>
    <t xml:space="preserve"> .</t>
  </si>
  <si>
    <t>DIA+ - GIẢ ĐỊNH ĐẦU VÀO &amp; KỊCH BẢN 3 NĂM</t>
  </si>
  <si>
    <t>Cơ sở</t>
  </si>
  <si>
    <t>Note: 
- Thận trọng: Nếu mọi thứ diễn ra không thuận lợi lắm.
- Cơ sở: Kịch bản có khả năng xảy ra nhất 
- Tích cực: Nếu mọi thứ diễn ra thuận lợi hơn dự kiến</t>
  </si>
  <si>
    <t>Nhóm</t>
  </si>
  <si>
    <t>Mã biến</t>
  </si>
  <si>
    <t>Biến số</t>
  </si>
  <si>
    <t>Đơn vị</t>
  </si>
  <si>
    <t>Thận trọng
Năm 1</t>
  </si>
  <si>
    <t>Thận trọng
Năm 2</t>
  </si>
  <si>
    <t>Thận trọng
Năm 3</t>
  </si>
  <si>
    <t>Cơ sở
Năm 1</t>
  </si>
  <si>
    <t>Cơ sở
Năm 2</t>
  </si>
  <si>
    <t>Cơ sở
Năm 3</t>
  </si>
  <si>
    <t>Tích cực
Năm 1</t>
  </si>
  <si>
    <t>Tích cực
Năm 2</t>
  </si>
  <si>
    <t>Tích cực
Năm 3</t>
  </si>
  <si>
    <t>Kịch bản chọn
Năm 1</t>
  </si>
  <si>
    <t>Kịch bản chọn
Năm 2</t>
  </si>
  <si>
    <t>Kịch bản chọn
Năm 3</t>
  </si>
  <si>
    <t>Nguồn / căn cứ</t>
  </si>
  <si>
    <t>Trạng thái</t>
  </si>
  <si>
    <t>A. NGƯỜI DÙNG</t>
  </si>
  <si>
    <t>Người dùng</t>
  </si>
  <si>
    <t>months_year</t>
  </si>
  <si>
    <t>Số tháng trong năm</t>
  </si>
  <si>
    <t>tháng</t>
  </si>
  <si>
    <t>Quy ước mô hình</t>
  </si>
  <si>
    <t>Quy ước</t>
  </si>
  <si>
    <t>users_total</t>
  </si>
  <si>
    <t>Tổng người dùng đăng ký</t>
  </si>
  <si>
    <t>người</t>
  </si>
  <si>
    <t>Giả định với mục tiêu tăng trưởng theo 3 giai đoạn: thử nghiệm – tăng trưởng – mở rộng.</t>
  </si>
  <si>
    <t>Đã xác nhận</t>
  </si>
  <si>
    <t>mau_rate</t>
  </si>
  <si>
    <t>Tỷ lệ người dùng hoạt động MAU</t>
  </si>
  <si>
    <t>%</t>
  </si>
  <si>
    <t xml:space="preserve">Giả định ban đầu </t>
  </si>
  <si>
    <t>pro_conv</t>
  </si>
  <si>
    <t>Tỷ lệ chuyển đổi Free → Pro</t>
  </si>
  <si>
    <t xml:space="preserve">Giả định </t>
  </si>
  <si>
    <t>pro_monthly_share</t>
  </si>
  <si>
    <t>Tỷ lệ Pro trả theo tháng</t>
  </si>
  <si>
    <t>pro_annual_share</t>
  </si>
  <si>
    <t>Tỷ lệ Pro trả theo năm</t>
  </si>
  <si>
    <t>clinic_monthly_share</t>
  </si>
  <si>
    <t>Tỷ lệ Clinic trả theo tháng</t>
  </si>
  <si>
    <t>clinic_annual_share</t>
  </si>
  <si>
    <t>Tỷ lệ Clinc trả theo năm</t>
  </si>
  <si>
    <t>mau</t>
  </si>
  <si>
    <t xml:space="preserve">Số người thật sự dùng (MAU) </t>
  </si>
  <si>
    <t>b2c_mau</t>
  </si>
  <si>
    <t>Số người thật sự dùng phân khúc bệnh nhân</t>
  </si>
  <si>
    <t>b2c_clinic_mau</t>
  </si>
  <si>
    <t>Số người thật sự dùng phân khúc phòng khám</t>
  </si>
  <si>
    <t>b2c_retention_monthly</t>
  </si>
  <si>
    <t>Tỷ lệ giữ chân hằng tháng phân khúc bệnh nhân</t>
  </si>
  <si>
    <t>b2c_churn_monthly</t>
  </si>
  <si>
    <t>Tỷ lệ rời bỏ hằng tháng phân khúc bệnh nhân</t>
  </si>
  <si>
    <t>b2b_retention_monthly</t>
  </si>
  <si>
    <t>Tỷ lệ giữ chân hằng tháng phân khúc phòng khám</t>
  </si>
  <si>
    <t>b2b_churn_monthly</t>
  </si>
  <si>
    <t>Tỷ lệ rời bỏ hằng tháng phân khúc phòng khám</t>
  </si>
  <si>
    <t>new_users</t>
  </si>
  <si>
    <t>Tổng số người dùng mới trong năm</t>
  </si>
  <si>
    <t>Giả định, chênh lệch mục tiêu người dùng cuối năm</t>
  </si>
  <si>
    <t>b2c_new_users_annual</t>
  </si>
  <si>
    <t xml:space="preserve">Tổng số người dùng mới là bệnh nhân trong năm </t>
  </si>
  <si>
    <t>b2b_new_clinics_annual</t>
  </si>
  <si>
    <t>Tổng số người dùng mới là phòng khám trong năm</t>
  </si>
  <si>
    <t>scans_per_mau</t>
  </si>
  <si>
    <t>Lượt quét đơn thuốc / MAU / tháng</t>
  </si>
  <si>
    <t>lượt</t>
  </si>
  <si>
    <t>Giả định theo mức sử dụng AI/OCR</t>
  </si>
  <si>
    <t>B. KHÁCH HÀNG TỔ CHỨC</t>
  </si>
  <si>
    <t>Tổ chức</t>
  </si>
  <si>
    <t>hospitals_end</t>
  </si>
  <si>
    <t>Số bệnh viện cuối năm</t>
  </si>
  <si>
    <t>cơ sở</t>
  </si>
  <si>
    <t>Năm 1 ưu tiên pilot; năm 2–3 mở rộng qua đối tác y tế.</t>
  </si>
  <si>
    <t>clinics_end</t>
  </si>
  <si>
    <t>Số phòng khám cuối năm</t>
  </si>
  <si>
    <t>Giả định theo chiến lược B2B2C</t>
  </si>
  <si>
    <t>new_hospitals</t>
  </si>
  <si>
    <t>Bệnh viện ký mới trong năm</t>
  </si>
  <si>
    <t>Giả định pipeline bán hàng</t>
  </si>
  <si>
    <t>new_clinics</t>
  </si>
  <si>
    <t>Phòng khám ký mới trong năm</t>
  </si>
  <si>
    <t>new_facilities</t>
  </si>
  <si>
    <t>Tổng cơ sở ký mới trong năm</t>
  </si>
  <si>
    <t>Tổng cơ sở ký mới</t>
  </si>
  <si>
    <t>avg_active_new_factor</t>
  </si>
  <si>
    <t>Tỷ lệ hoạt động bình quân của cơ sở ký mới</t>
  </si>
  <si>
    <t>Giả định ký hợp đồng đều trong năm</t>
  </si>
  <si>
    <t>patients_hospital</t>
  </si>
  <si>
    <t>Bệnh nhân trung bình / bệnh viện</t>
  </si>
  <si>
    <t>DIAPLUS.docx: 5.000–10.000 bệnh nhân/bệnh viện</t>
  </si>
  <si>
    <t>Tham chiếu DIA+</t>
  </si>
  <si>
    <t>patients_clinic</t>
  </si>
  <si>
    <t>Bệnh nhân trung bình / phòng khám</t>
  </si>
  <si>
    <t>Giả định ban đầu</t>
  </si>
  <si>
    <t>b2b_renewal</t>
  </si>
  <si>
    <t>Tỷ lệ gia hạn hợp đồng B2B</t>
  </si>
  <si>
    <t>C. GIÁ BÁN</t>
  </si>
  <si>
    <t>(r = 10%/năm, rf tháng = 10,47%)</t>
  </si>
  <si>
    <t>Giá bán</t>
  </si>
  <si>
    <t>premium_month</t>
  </si>
  <si>
    <t>Giá DIA+ Pro/ tháng</t>
  </si>
  <si>
    <t>VNĐ/tháng</t>
  </si>
  <si>
    <t>Giá khởi điểm phục vụ kiểm chứng willingness-to-pay.</t>
  </si>
  <si>
    <t>Đã kiểm chứng và báo giá</t>
  </si>
  <si>
    <t>premium_year</t>
  </si>
  <si>
    <t>Giá DIA+ Pro / năm</t>
  </si>
  <si>
    <t>VNĐ/năm</t>
  </si>
  <si>
    <t>Giả định giá khởi tạo – cần xác nhận</t>
  </si>
  <si>
    <t>clinic_month</t>
  </si>
  <si>
    <t>Giá DIA+ Clinic / tháng</t>
  </si>
  <si>
    <t>Giá DIA+ Clinic/năm</t>
  </si>
  <si>
    <t>deploy_hospital_fee</t>
  </si>
  <si>
    <t>Phí triển khai / bệnh viện (Doanh thu)</t>
  </si>
  <si>
    <t>VNĐ/cơ sở</t>
  </si>
  <si>
    <t>deploy_clinic_fee</t>
  </si>
  <si>
    <t>Phí triển khai / phòng khám (Doanh thu)</t>
  </si>
  <si>
    <t>training_fee</t>
  </si>
  <si>
    <t>Phí đào tạo / cơ sở</t>
  </si>
  <si>
    <t>api_fee</t>
  </si>
  <si>
    <t>api_adoption</t>
  </si>
  <si>
    <t>Tỷ lệ cơ sở ký mới mua tích hợp API</t>
  </si>
  <si>
    <t>D. CHI PHÍ BIẾN ĐỔI</t>
  </si>
  <si>
    <t>Biến phí</t>
  </si>
  <si>
    <t>ai_cost_scan</t>
  </si>
  <si>
    <t>Chi phí AI/OCR / lượt</t>
  </si>
  <si>
    <t>VNĐ/lượt</t>
  </si>
  <si>
    <t>cloud_cost_mau</t>
  </si>
  <si>
    <t>Chi phí cloud / MAU / tháng</t>
  </si>
  <si>
    <t>VNĐ/người/tháng</t>
  </si>
  <si>
    <t>Giả định hạ tầng cloud theo mô hình tối ưu chi phí startup.</t>
  </si>
  <si>
    <t>storage_cost_mau</t>
  </si>
  <si>
    <t>Chi phí lưu trữ / MAU / tháng</t>
  </si>
  <si>
    <t>Giả định</t>
  </si>
  <si>
    <t>notify_cost_mau</t>
  </si>
  <si>
    <t>Chi phí SMS/email/push / MAU / tháng</t>
  </si>
  <si>
    <t>payment_fee</t>
  </si>
  <si>
    <t>Phí cổng thanh toán</t>
  </si>
  <si>
    <t>% doanh thu B2C</t>
  </si>
  <si>
    <t>support_cost_premium</t>
  </si>
  <si>
    <t>Hỗ trợ / Pro / tháng</t>
  </si>
  <si>
    <t>deploy_cost_hospital</t>
  </si>
  <si>
    <t>Chi phí triển khai / bệnh viện</t>
  </si>
  <si>
    <t>deploy_cost_clinic</t>
  </si>
  <si>
    <t>Chi phí triển khai / phòng khám</t>
  </si>
  <si>
    <t>sales_commission</t>
  </si>
  <si>
    <t>Hoa hồng bán hàng B2B</t>
  </si>
  <si>
    <t>% doanh thu B2B</t>
  </si>
  <si>
    <t>care_cost_facility</t>
  </si>
  <si>
    <t>CSKH / cơ sở / tháng</t>
  </si>
  <si>
    <t>VNĐ/cơ sở/tháng</t>
  </si>
  <si>
    <t>partner_cost_rate</t>
  </si>
  <si>
    <t>Chi phí đối tác</t>
  </si>
  <si>
    <t>% tổng doanh thu</t>
  </si>
  <si>
    <t>doctor_sessions</t>
  </si>
  <si>
    <t>Số phiên tư vấn bác sĩ / Pro / năm</t>
  </si>
  <si>
    <t>phiên</t>
  </si>
  <si>
    <t>doctor_cost_session</t>
  </si>
  <si>
    <t>Chi phí bác sĩ / phiên</t>
  </si>
  <si>
    <t>VNĐ/phiên</t>
  </si>
  <si>
    <t>E. THÔNG SỐ TÀI CHÍNH</t>
  </si>
  <si>
    <t>Tài chính</t>
  </si>
  <si>
    <t>tax_rate</t>
  </si>
  <si>
    <t>Thuế TNDN</t>
  </si>
  <si>
    <t>discount_rate</t>
  </si>
  <si>
    <t>Tỷ lệ chiết khấu</t>
  </si>
  <si>
    <t>debt_ratio</t>
  </si>
  <si>
    <t>Tỷ lệ vốn vay</t>
  </si>
  <si>
    <t>interest_rate</t>
  </si>
  <si>
    <t>Lãi suất vay</t>
  </si>
  <si>
    <t>%/năm</t>
  </si>
  <si>
    <t>equity_ratio</t>
  </si>
  <si>
    <t>Tỷ lệ vốn chủ sở hữu</t>
  </si>
  <si>
    <t>software_amort_years</t>
  </si>
  <si>
    <t>Phân bổ phần mềm bản quyền Microsoft 365 Family</t>
  </si>
  <si>
    <t>năm</t>
  </si>
  <si>
    <t>Giá tham khảo tại trang Microsoft chính hãng</t>
  </si>
  <si>
    <t>equipment_dep_years</t>
  </si>
  <si>
    <t>Khấu hao thiết bị</t>
  </si>
  <si>
    <t>project_life</t>
  </si>
  <si>
    <t>Vòng đời dự án</t>
  </si>
  <si>
    <t>min_wc_months</t>
  </si>
  <si>
    <t>Vốn lưu động tối thiểu</t>
  </si>
  <si>
    <t>tháng định phí</t>
  </si>
  <si>
    <t>salary_growth</t>
  </si>
  <si>
    <t>Tăng lương</t>
  </si>
  <si>
    <t>cloud_growth</t>
  </si>
  <si>
    <t>Tăng chi phí cloud</t>
  </si>
  <si>
    <t>marketing_growth</t>
  </si>
  <si>
    <t>Tăng chi phí marketing</t>
  </si>
  <si>
    <t>loan_term</t>
  </si>
  <si>
    <t>Thời hạn vay</t>
  </si>
  <si>
    <t>b2c_marketing_share</t>
  </si>
  <si>
    <t>Tỷ lệ marketing phân bổ B2C</t>
  </si>
  <si>
    <t>additional_capex</t>
  </si>
  <si>
    <t>Chi đầu tư bổ sung</t>
  </si>
  <si>
    <t>F. CHI PHÍ VẬN HÀNH CỐ ĐỊNH / THÁNG</t>
  </si>
  <si>
    <t>Định phí</t>
  </si>
  <si>
    <t>fix_tech</t>
  </si>
  <si>
    <t>Đội ngũ tinh gọn; founder kiêm nhiệm, tuyển theo cột mốc doanh thu.</t>
  </si>
  <si>
    <t>fix_product</t>
  </si>
  <si>
    <t>Lương sản phẩm và UI/UX</t>
  </si>
  <si>
    <t>fix_medical</t>
  </si>
  <si>
    <t>Lương chuyên môn y tế</t>
  </si>
  <si>
    <t>fix_sales</t>
  </si>
  <si>
    <t>Nhân sự kinh doanh B2B</t>
  </si>
  <si>
    <t>fix_marketing</t>
  </si>
  <si>
    <t>Marketing</t>
  </si>
  <si>
    <t>fix_cs</t>
  </si>
  <si>
    <t>Chăm sóc khách hàng</t>
  </si>
  <si>
    <t>fix_admin</t>
  </si>
  <si>
    <t>Kế toán và hành chính</t>
  </si>
  <si>
    <t>fix_office</t>
  </si>
  <si>
    <t>fix_tools</t>
  </si>
  <si>
    <t>Phần mềm và công cụ làm việc</t>
  </si>
  <si>
    <t>fix_security</t>
  </si>
  <si>
    <t>Kiểm tra bảo mật định kỳ</t>
  </si>
  <si>
    <t>fix_legal</t>
  </si>
  <si>
    <t>Pháp lý và tuân thủ dữ liệu</t>
  </si>
  <si>
    <t>fix_rd</t>
  </si>
  <si>
    <t>Nghiên cứu và phát triển</t>
  </si>
  <si>
    <t>fix_travel</t>
  </si>
  <si>
    <t>Đi lại, demo, làm việc bệnh viện</t>
  </si>
  <si>
    <t>fix_contingency</t>
  </si>
  <si>
    <t>Dự phòng vận hành</t>
  </si>
  <si>
    <t>G. CHI PHÍ ĐẦU TƯ BAN ĐẦU</t>
  </si>
  <si>
    <t>Đầu tư</t>
  </si>
  <si>
    <t>init_research_qty</t>
  </si>
  <si>
    <t>Nghiên cứu thị trường – Số lượng</t>
  </si>
  <si>
    <t>đơn vị</t>
  </si>
  <si>
    <t>init_research_price</t>
  </si>
  <si>
    <t>Nghiên cứu thị trường – Đơn giá</t>
  </si>
  <si>
    <t>VNĐ/đơn vị</t>
  </si>
  <si>
    <t>Giá nghiên cứu thị trường dao động từ $5000 - $15000</t>
  </si>
  <si>
    <t>init_security_storage_qty</t>
  </si>
  <si>
    <t>Bảo mật và lưu trữ thông tin - Số lượng</t>
  </si>
  <si>
    <t>init_security_storage_price</t>
  </si>
  <si>
    <t xml:space="preserve">Bảo mật và lưu trữ thông tin - Đơn giá </t>
  </si>
  <si>
    <t>init_infrastructure_qty</t>
  </si>
  <si>
    <t>Hạ tầng công nghệ - Số lượng</t>
  </si>
  <si>
    <t>init_infrastructure_price</t>
  </si>
  <si>
    <t>Hạ tầng công nghệ - Đơn giá</t>
  </si>
  <si>
    <t>init_ai_qty</t>
  </si>
  <si>
    <t>Tích hợp AI – Số lượng</t>
  </si>
  <si>
    <t>init_ai_price</t>
  </si>
  <si>
    <t>Tích hợp AI – Đơn giá</t>
  </si>
  <si>
    <t>init_testing_qty</t>
  </si>
  <si>
    <t>Kiểm thử phần mềm – Số lượng</t>
  </si>
  <si>
    <t>init_testing_price</t>
  </si>
  <si>
    <t>Kiểm thử phần mềm – Đơn giá</t>
  </si>
  <si>
    <t>init_security_qty</t>
  </si>
  <si>
    <t>Kiểm thử bảo mật – Số lượng</t>
  </si>
  <si>
    <t>init_security_price</t>
  </si>
  <si>
    <t>Kiểm thử bảo mật – Đơn giá</t>
  </si>
  <si>
    <t>init_trademark_qty</t>
  </si>
  <si>
    <t>Đăng ký thương hiệu – Số lượng</t>
  </si>
  <si>
    <t>init_trademark_price</t>
  </si>
  <si>
    <t>Đăng ký thương hiệu – Đơn giá</t>
  </si>
  <si>
    <t>cap_licenses_qty</t>
  </si>
  <si>
    <t>Bản quyền Microsoft 365 Family chính hãng (có AI Copilot) - Số lượng</t>
  </si>
  <si>
    <t>Giá được tham khảo tại thegioididong ngày 20/07/2026</t>
  </si>
  <si>
    <t>cap_licenses_price</t>
  </si>
  <si>
    <t>Bản quyền Microsoft 365 Family chính hãng (có AI Copilot) - Đơn giá</t>
  </si>
  <si>
    <t>Giá được tham khảo tại trang web chính thức của Microsoft</t>
  </si>
  <si>
    <t>init_business_registration_qty</t>
  </si>
  <si>
    <t>Đăng ký thành lập doanh nghiệp đầy đủ - Số lượng</t>
  </si>
  <si>
    <t>init_business_registration_price</t>
  </si>
  <si>
    <t>Đăng ký thành lập doanh nghiệp đầy đủ - Đơn giá</t>
  </si>
  <si>
    <t>init_medical_legal_consulting_qty</t>
  </si>
  <si>
    <t>Tư vấn pháp lý y tế - Số lượng</t>
  </si>
  <si>
    <t>init_medical_legal_consulting_price</t>
  </si>
  <si>
    <t>Tư vấn pháp lý y tế - Đơn giá</t>
  </si>
  <si>
    <t>init_app_copyright_qty</t>
  </si>
  <si>
    <t>Đăng ký bản quyền phần mềm app- Số lượng</t>
  </si>
  <si>
    <t xml:space="preserve">init_app_copyright_price
</t>
  </si>
  <si>
    <t>Đăng ký bản quyền phần mềm app - Đơn giá</t>
  </si>
  <si>
    <t>init_ecommerce_license_qty</t>
  </si>
  <si>
    <t xml:space="preserve">Giấy phép Thương mại điện tử (Bộ Công Thương) - Số lượng </t>
  </si>
  <si>
    <t>init_ecommerce_license_price</t>
  </si>
  <si>
    <t>Giấy phép Thương mại điện tử (Bộ Công Thương) - Đơn giá</t>
  </si>
  <si>
    <t>init_work_equipment_qty</t>
  </si>
  <si>
    <t>Thiết bị làm việc (laptop) – Số lượng</t>
  </si>
  <si>
    <t>init_work_equipment_price</t>
  </si>
  <si>
    <t>Thiết bị làm việc (laptop) – Đơn giá</t>
  </si>
  <si>
    <t>init_test_devices_qty</t>
  </si>
  <si>
    <t>Điện thoại iphone kiểm thử – Số lượng</t>
  </si>
  <si>
    <t>init_test_devices_price</t>
  </si>
  <si>
    <t>Điện thoại iphone kiểm thử – Đơn giá</t>
  </si>
  <si>
    <t>init_pilot_qty</t>
  </si>
  <si>
    <t>Thí điểm tại bệnh viện – Số lượng</t>
  </si>
  <si>
    <t>init_pilot_price</t>
  </si>
  <si>
    <t>Thí điểm tại bệnh viện – Đơn giá</t>
  </si>
  <si>
    <t>init_launch_marketing_qty</t>
  </si>
  <si>
    <t>Marketing ra mắt – Số lượng</t>
  </si>
  <si>
    <t>init_launch_marketing_price</t>
  </si>
  <si>
    <t>Marketing ra mắt – Đơn giá</t>
  </si>
  <si>
    <t>init_training_qty</t>
  </si>
  <si>
    <t>Đào tạo nhân sự – Số lượng</t>
  </si>
  <si>
    <t>init_training_price</t>
  </si>
  <si>
    <t>Đào tạo nhân sự – Đơn giá</t>
  </si>
  <si>
    <t>init_working_capital_qty</t>
  </si>
  <si>
    <t>Vốn lưu động ban đầu – Số lượng</t>
  </si>
  <si>
    <t>init_working_capital_price</t>
  </si>
  <si>
    <t>Vốn lưu động ban đầu – Đơn giá</t>
  </si>
  <si>
    <t>Vốn lưu động đủ khoảng 2 tháng định phí ở giai đoạn đầu.</t>
  </si>
  <si>
    <t>Cần kiểm chứng/báo giá</t>
  </si>
  <si>
    <t>init_contingency_qty</t>
  </si>
  <si>
    <t>Dự phòng chi phí phát sinh ban đầu – Số lượng</t>
  </si>
  <si>
    <t>init_contingency_price</t>
  </si>
  <si>
    <t>Dự phòng chi phí phát sinh ban đầu – Đơn giá</t>
  </si>
  <si>
    <t>H. DANH MỤC ĐẦU TƯ CHI TIẾT</t>
  </si>
  <si>
    <t>Danh mục đầu tư</t>
  </si>
  <si>
    <t>cap_laptop_qty</t>
  </si>
  <si>
    <t>Laptop phát triển – Số lượng</t>
  </si>
  <si>
    <t>cap_laptop_price</t>
  </si>
  <si>
    <t>Laptop phát triển – Đơn giá</t>
  </si>
  <si>
    <t>Dự kiến Laptop Lenovo LOQ giá tham khảo tại Thegioididong ngày 20/07/2026</t>
  </si>
  <si>
    <t>cap_android_qty</t>
  </si>
  <si>
    <t>Điện thoại Iphone test – Số lượng</t>
  </si>
  <si>
    <t>cap_android_price</t>
  </si>
  <si>
    <t>Điện thoại Iphone test– Đơn giá</t>
  </si>
  <si>
    <t>Giả định dự kiến dòng Iphone 14 - giá tham khảo tại CellphoneS</t>
  </si>
  <si>
    <t>cap_security_qty</t>
  </si>
  <si>
    <t>Bảo mật Đám mây (Cloudflare Pro / WAF) - Số lượng</t>
  </si>
  <si>
    <t>cap_security_price</t>
  </si>
  <si>
    <t>Bảo mật Đám mây (Cloudflare Pro / WAF) - Đơn giá</t>
  </si>
  <si>
    <t>cap_platform_qty</t>
  </si>
  <si>
    <t>Bảo trì hệ thống - dự trù chi phí phát sinh  – Số lượng</t>
  </si>
  <si>
    <t>cap_platform_price</t>
  </si>
  <si>
    <t>Bảo trì hệ thống - dự trù chi phí phát sinh  – Đơn giá</t>
  </si>
  <si>
    <t>Giả định – cần báo giá</t>
  </si>
  <si>
    <t>cap_ai_qty</t>
  </si>
  <si>
    <t>cap_ai_price</t>
  </si>
  <si>
    <t>Giá được tham khảo ngày 20/07/2026 tại trang web gemini.google.com và claude.ai</t>
  </si>
  <si>
    <t>cap_consulting_qty</t>
  </si>
  <si>
    <t>Tư vấn pháp lý và đăng ký kinh doanh – Số lượng</t>
  </si>
  <si>
    <t>cap_consulting_price</t>
  </si>
  <si>
    <t>Tư vấn bảo mật và đăng ký kinh doanh – Đơn giá</t>
  </si>
  <si>
    <t>I. THÔNG SỐ ĐỘ NHẠY</t>
  </si>
  <si>
    <t>Độ nhạy</t>
  </si>
  <si>
    <t>sens_m80</t>
  </si>
  <si>
    <t>Hệ số 80%</t>
  </si>
  <si>
    <t>hệ số</t>
  </si>
  <si>
    <t>sens_m90</t>
  </si>
  <si>
    <t>Hệ số 90%</t>
  </si>
  <si>
    <t>sens_m100</t>
  </si>
  <si>
    <t>Hệ số 100%</t>
  </si>
  <si>
    <t>sens_m110</t>
  </si>
  <si>
    <t>Hệ số 110%</t>
  </si>
  <si>
    <t>sens_m120</t>
  </si>
  <si>
    <t>Hệ số 120%</t>
  </si>
  <si>
    <t>DIA+ -  KẾ HOẠCH CHI PHÍ</t>
  </si>
  <si>
    <t>A. CHI PHÍ ĐẦU TƯ BAN ĐẦU</t>
  </si>
  <si>
    <t>Khoản mục</t>
  </si>
  <si>
    <t>Khấu hao / phân bổ?</t>
  </si>
  <si>
    <t>Thời gian phân bổ</t>
  </si>
  <si>
    <t>Phân loại</t>
  </si>
  <si>
    <t>GHI CHÚ</t>
  </si>
  <si>
    <t>Nghiên cứu thị trường</t>
  </si>
  <si>
    <t>Chi phí trước vận hành</t>
  </si>
  <si>
    <t>1. Năm 1 chưa thuê mặt bằng nên chưa định phí vào khoản này</t>
  </si>
  <si>
    <t xml:space="preserve">Hạ tầng công nghệ </t>
  </si>
  <si>
    <t>Tài sản phần mềm</t>
  </si>
  <si>
    <t>Phần mềm</t>
  </si>
  <si>
    <t>Kiểm thử phần mềm</t>
  </si>
  <si>
    <t>Đưa phần mềm vào trạng thái sẵn sàng</t>
  </si>
  <si>
    <t>Kiểm thử bảo mật</t>
  </si>
  <si>
    <t>Thiết bị làm việc (laptop)</t>
  </si>
  <si>
    <t>Thiết bị mạng, bảo mật, lưu trữ</t>
  </si>
  <si>
    <t>Tài sản hữu hình</t>
  </si>
  <si>
    <t>Điện thoại Iphone kiểm thử</t>
  </si>
  <si>
    <t>Laptop, điện thoại, thiết bị demo</t>
  </si>
  <si>
    <t>Thí điểm tại bệnh viện</t>
  </si>
  <si>
    <t>Chi phí thí điểm</t>
  </si>
  <si>
    <t>Marketing ra mắt</t>
  </si>
  <si>
    <t>Chi phí ra mắt</t>
  </si>
  <si>
    <t>Đào tạo nhân sự</t>
  </si>
  <si>
    <t>Vốn lưu động ban đầu</t>
  </si>
  <si>
    <t>Dự trữ tiền mặt</t>
  </si>
  <si>
    <t>Vốn lưu động</t>
  </si>
  <si>
    <t>Dự phòng đầu tư</t>
  </si>
  <si>
    <t>TỔNG ĐẦU TƯ BAN ĐẦU</t>
  </si>
  <si>
    <t>B. CHI PHÍ VẬN HÀNH CỐ ĐỊNH</t>
  </si>
  <si>
    <t>Tháng Năm 1</t>
  </si>
  <si>
    <t>Năm 1</t>
  </si>
  <si>
    <t>Tháng Năm 2</t>
  </si>
  <si>
    <t>Năm 2</t>
  </si>
  <si>
    <t>Tháng Năm 3</t>
  </si>
  <si>
    <t>Năm 3</t>
  </si>
  <si>
    <t>Nhóm P&amp;L</t>
  </si>
  <si>
    <t>Nhân sự</t>
  </si>
  <si>
    <t>Bán hàng &amp; QLDN</t>
  </si>
  <si>
    <t>Thuê văn phòng văn phòng co - working</t>
  </si>
  <si>
    <t>-</t>
  </si>
  <si>
    <t>Công nghệ</t>
  </si>
  <si>
    <t>- Thuê tư vấn pháp lý / Kiểm toán tuân thủ định kỳ (Retainer Fee)</t>
  </si>
  <si>
    <t>- Nhân sự phụ trách bảo vệ dữ liệu (DPO - Data Protection Officer)</t>
  </si>
  <si>
    <t>TỔNG ĐỊNH PHÍ</t>
  </si>
  <si>
    <t>C. CHI PHÍ BIẾN ĐỔI</t>
  </si>
  <si>
    <t>Cơ sở tính</t>
  </si>
  <si>
    <t>Nguồn</t>
  </si>
  <si>
    <t>AI/OCR</t>
  </si>
  <si>
    <t>MAU × lượt quét × giá/lượt</t>
  </si>
  <si>
    <t>VNĐ</t>
  </si>
  <si>
    <t>Liên kết DIA_Giả Định / DIA_Giá và Doanh Thu</t>
  </si>
  <si>
    <t>B2C nền tảng</t>
  </si>
  <si>
    <t>Cloud theo người dùng</t>
  </si>
  <si>
    <t>MAU × chi phí cloud/tháng</t>
  </si>
  <si>
    <t>Lưu trữ dữ liệu</t>
  </si>
  <si>
    <t>MAU × chi phí lưu trữ/tháng</t>
  </si>
  <si>
    <t>Phí thanh toán</t>
  </si>
  <si>
    <t>Doanh thu B2C × tỷ lệ phí</t>
  </si>
  <si>
    <t>B2C</t>
  </si>
  <si>
    <t>SMS/email/thông báo</t>
  </si>
  <si>
    <t>MAU × chi phí/tháng</t>
  </si>
  <si>
    <t>Hỗ trợ Pro</t>
  </si>
  <si>
    <t>Premium × phí hỗ trợ/tháng</t>
  </si>
  <si>
    <t>Triển khai cơ sở</t>
  </si>
  <si>
    <t>Cơ sở ký mới × chi phí theo loại</t>
  </si>
  <si>
    <t>B2B</t>
  </si>
  <si>
    <t>Hoa hồng bán hàng</t>
  </si>
  <si>
    <t>Doanh thu B2B × tỷ lệ</t>
  </si>
  <si>
    <t>Tổng doanh thu × tỷ lệ</t>
  </si>
  <si>
    <t>Chung</t>
  </si>
  <si>
    <t>Chăm sóc B2B</t>
  </si>
  <si>
    <t>Cơ sở bình quân × phí/tháng</t>
  </si>
  <si>
    <t>Tư vấn bác sĩ</t>
  </si>
  <si>
    <t>Premium × phiên × giá/phiên</t>
  </si>
  <si>
    <t>TỔNG BIẾN PHÍ</t>
  </si>
  <si>
    <t>TỔNG HỢP CHI PHÍ</t>
  </si>
  <si>
    <t>Tổng đầu tư ban đầu</t>
  </si>
  <si>
    <t>Tổng định phí vận hành</t>
  </si>
  <si>
    <t>Tổng biến phí</t>
  </si>
  <si>
    <t>Tổng chi phí vận hành</t>
  </si>
  <si>
    <t>DIA+ -  PHÂN TÍCH KỊCH BẢN &amp; ĐỘ NHẠY</t>
  </si>
  <si>
    <t>Ba kịch bản và bốn bảng độ nhạy được giữ nguyên; màu sắc và phân cấp tiêu đề được đồng bộ với mẫu YAMNUTRI.</t>
  </si>
  <si>
    <t>(giả định tỷ lệ giá vốn là 40%)</t>
  </si>
  <si>
    <t>SO SÁNH 3 KỊCH BẢN</t>
  </si>
  <si>
    <t>Chỉ tiêu</t>
  </si>
  <si>
    <t>Thận trọng</t>
  </si>
  <si>
    <t>Tích cực</t>
  </si>
  <si>
    <t>Tổng người dùng Năm 3</t>
  </si>
  <si>
    <t>Tỷ lệ chuyển đổi Premium Năm 3</t>
  </si>
  <si>
    <t>Số cơ sở B2B Năm 3</t>
  </si>
  <si>
    <t>Doanh thu 3 năm</t>
  </si>
  <si>
    <t>EBITDA 3 năm</t>
  </si>
  <si>
    <t>Lợi nhuận sau thuế 3 năm</t>
  </si>
  <si>
    <t>NPV</t>
  </si>
  <si>
    <t>IRR</t>
  </si>
  <si>
    <t>Thời gian hoàn vốn</t>
  </si>
  <si>
    <t>Nhu cầu vốn</t>
  </si>
  <si>
    <t>KHỐI TÍNH - THẬN TRỌNG</t>
  </si>
  <si>
    <t>KHỐI TÍNH - CƠ SỞ</t>
  </si>
  <si>
    <t>KHỐI TÍNH - TÍCH CỰC</t>
  </si>
  <si>
    <t>Đầu tư ban đầu</t>
  </si>
  <si>
    <t>Tổng người dùng</t>
  </si>
  <si>
    <t>MAU</t>
  </si>
  <si>
    <t>Người dùng Pro</t>
  </si>
  <si>
    <t>Cơ sở B2B cuối năm</t>
  </si>
  <si>
    <t>Cơ sở B2B bình quân</t>
  </si>
  <si>
    <t>Doanh thu B2C</t>
  </si>
  <si>
    <t>Doanh thu B2B</t>
  </si>
  <si>
    <t>Doanh thu triển khai</t>
  </si>
  <si>
    <t>Doanh thu dịch vụ</t>
  </si>
  <si>
    <t>Tổng doanh thu</t>
  </si>
  <si>
    <t>Chi phí biến đổi</t>
  </si>
  <si>
    <t>Chi phí cố định</t>
  </si>
  <si>
    <t>EBITDA</t>
  </si>
  <si>
    <t>Khấu hao &amp; phân bổ</t>
  </si>
  <si>
    <t>EBIT</t>
  </si>
  <si>
    <t>Thuế</t>
  </si>
  <si>
    <t>Lợi nhuận sau thuế</t>
  </si>
  <si>
    <t>Thay đổi vốn lưu động</t>
  </si>
  <si>
    <t>FCF</t>
  </si>
  <si>
    <t>FCF chiết khấu</t>
  </si>
  <si>
    <t>FCF lũy kế</t>
  </si>
  <si>
    <t>FCF chiết khấu lũy kế</t>
  </si>
  <si>
    <t>BẢNG ĐỘ NHẠY 2 CHIỀU — KỊCH BẢN CƠ SỞ</t>
  </si>
  <si>
    <t>1. Giá Premium × Chuyển đổi - Doanh thu B2C Năm 3</t>
  </si>
  <si>
    <t>2. Phí B2B × Số cơ sở -  B2B ARR Năm 3</t>
  </si>
  <si>
    <t>Giá PrO/tháng \ Tỷ lệ chuyển đổi</t>
  </si>
  <si>
    <t>Phí B2B bình quân/tháng \ Số cơ sở</t>
  </si>
  <si>
    <t>3. Chi phí AI/lượt × Lượt quét — Tổng chi phí AI Năm 3</t>
  </si>
  <si>
    <t>4. CAC × Churn — LTV/CAC B2C Năm 3</t>
  </si>
  <si>
    <t>Chi phí AI/lượt \ Lượt quét/MAU/tháng</t>
  </si>
  <si>
    <t>CAC B2C \ Churn/tháng</t>
  </si>
  <si>
    <t>DIA+ - HIỆU QUẢ TÀI CHÍNH 3 NĂM</t>
  </si>
  <si>
    <t>1. THÔNG SỐ</t>
  </si>
  <si>
    <t>Giá trị</t>
  </si>
  <si>
    <t>Liên kết DIA_Chi Phí / DIA_Giả Định</t>
  </si>
  <si>
    <t>Chi phí phát triển phần mềm được phân bổ</t>
  </si>
  <si>
    <t>Vốn vay</t>
  </si>
  <si>
    <t>Vốn chủ sở hữu</t>
  </si>
  <si>
    <t>Lãi suất</t>
  </si>
  <si>
    <t>Suất chiết khấu</t>
  </si>
  <si>
    <t>Thời gian phân bổ phần mềm</t>
  </si>
  <si>
    <t>2. KẾ HOẠCH TÀI CHÍNH</t>
  </si>
  <si>
    <t>2.1. Kế hoạch vay và trả nợ hàng năm</t>
  </si>
  <si>
    <t>Nợ đầu kỳ</t>
  </si>
  <si>
    <t>Lãi phát sinh</t>
  </si>
  <si>
    <t>Trả lãi</t>
  </si>
  <si>
    <t>Trả gốc</t>
  </si>
  <si>
    <t>Nợ cuối kỳ</t>
  </si>
  <si>
    <t>2.2. Kế hoạch thu nhập hàng năm</t>
  </si>
  <si>
    <t>Doanh thu triển khai &amp; dịch vụ</t>
  </si>
  <si>
    <t>Lợi nhuận gộp</t>
  </si>
  <si>
    <t>Gross Margin</t>
  </si>
  <si>
    <t>Chi phí nhân sự</t>
  </si>
  <si>
    <t>Chi phí marketing</t>
  </si>
  <si>
    <t>Chi phí công nghệ</t>
  </si>
  <si>
    <t>Chi phí bán hàng &amp; quản lý</t>
  </si>
  <si>
    <t>Biên EBITDA</t>
  </si>
  <si>
    <t>Khấu hao / phân bổ phần mềm</t>
  </si>
  <si>
    <t>Chi phí lãi vay</t>
  </si>
  <si>
    <t>Lợi nhuận trước thuế</t>
  </si>
  <si>
    <t>Net Profit Margin</t>
  </si>
  <si>
    <t>2.3. Dòng tiền</t>
  </si>
  <si>
    <t>Năm 0</t>
  </si>
  <si>
    <t>Dòng tiền đầu tư ban đầu</t>
  </si>
  <si>
    <t>Dòng tiền từ hoạt động kinh doanh</t>
  </si>
  <si>
    <t>Dòng tiền vay</t>
  </si>
  <si>
    <t>Vốn chủ sở hữu góp</t>
  </si>
  <si>
    <t>Trả nợ gốc</t>
  </si>
  <si>
    <t>Dòng tiền ròng</t>
  </si>
  <si>
    <t>Dòng tiền lũy kế</t>
  </si>
  <si>
    <t>Dòng tiền dự án (FCF)</t>
  </si>
  <si>
    <t>3. HIỆU QUẢ TÀI CHÍNH</t>
  </si>
  <si>
    <t>3.1. NPV, IRR, hoàn vốn và điểm hòa vốn</t>
  </si>
  <si>
    <t>Diễn giải</t>
  </si>
  <si>
    <t>Đánh giá</t>
  </si>
  <si>
    <t>Kết luận</t>
  </si>
  <si>
    <t>Kết quả thay đổi theo kịch bản và giả định.</t>
  </si>
  <si>
    <t>Thời gian hoàn vốn chưa chiết khấu</t>
  </si>
  <si>
    <t>Hoàn vốn</t>
  </si>
  <si>
    <t>Thời gian hoàn vốn có chiết khấu</t>
  </si>
  <si>
    <t>Dòng tiền</t>
  </si>
  <si>
    <t>ROI</t>
  </si>
  <si>
    <t>Biên lợi nhuận gộp</t>
  </si>
  <si>
    <t>Biên lợi nhuận ròng</t>
  </si>
  <si>
    <t>Burn Rate bình quân / tháng</t>
  </si>
  <si>
    <t>Runway</t>
  </si>
  <si>
    <t>Điểm hòa vốn doanh thu</t>
  </si>
  <si>
    <t>Điểm hòa vốn số người dùng Premium</t>
  </si>
  <si>
    <t>Điểm hòa vốn số cơ sở B2B</t>
  </si>
  <si>
    <t>3.2. Unit Economics</t>
  </si>
  <si>
    <t>CAC người dùng Premium</t>
  </si>
  <si>
    <t>CAC khách hàng B2B</t>
  </si>
  <si>
    <t>LTV người dùng Premium (12 tháng)</t>
  </si>
  <si>
    <t>LTV khách hàng B2B (24 tháng)</t>
  </si>
  <si>
    <t>LTV/CAC B2C</t>
  </si>
  <si>
    <t>LTV/CAC B2B</t>
  </si>
  <si>
    <t>Contribution Margin / người dùng Premium</t>
  </si>
  <si>
    <t>Contribution Margin / cơ sở y tế</t>
  </si>
  <si>
    <t>Thời gian hoàn vốn CAC B2C</t>
  </si>
  <si>
    <t>Thời gian hoàn vốn CAC B2B</t>
  </si>
  <si>
    <t>Kịch bản</t>
  </si>
  <si>
    <t>Tên gói</t>
  </si>
  <si>
    <t>Đối tượng khách hàng</t>
  </si>
  <si>
    <t>Giá niêm yết
Năm 1</t>
  </si>
  <si>
    <t>Chu kỳ thanh toán</t>
  </si>
  <si>
    <t>Chiết khấu</t>
  </si>
  <si>
    <t>Giá thực thu
Năm 1</t>
  </si>
  <si>
    <t>Khách hàng
Năm 1</t>
  </si>
  <si>
    <t>Khách hàng
Năm 2</t>
  </si>
  <si>
    <t>Khách hàng
Năm 3</t>
  </si>
  <si>
    <t>Doanh thu
Năm 1</t>
  </si>
  <si>
    <t>Doanh thu
Năm 2</t>
  </si>
  <si>
    <t>Doanh thu
Năm 3</t>
  </si>
  <si>
    <t>Tỷ trọng DT
Năm 1</t>
  </si>
  <si>
    <t>Tỷ trọng DT
Năm 2</t>
  </si>
  <si>
    <t>Tỷ trọng DT
Năm 3</t>
  </si>
  <si>
    <t>DIA+ Free</t>
  </si>
  <si>
    <t>Người dùng cá nhân</t>
  </si>
  <si>
    <t>Miễn phí</t>
  </si>
  <si>
    <t>Phễu thu hút người dùng; không tạo doanh thu trực tiếp. Tính năng cơ bản gồm ghi nhận glucose và nhắc thuốc.</t>
  </si>
  <si>
    <t>DIA+ Pro/Tháng</t>
  </si>
  <si>
    <t>Tháng</t>
  </si>
  <si>
    <t>Doanh thu định kỳ B2C theo tháng; số khách hàng = người dùng Premium × tỷ trọng trả tháng.</t>
  </si>
  <si>
    <t>DIA+ Pro/Năm</t>
  </si>
  <si>
    <t>Năm</t>
  </si>
  <si>
    <t>Doanh thu định kỳ B2C theo năm; mức chiết khấu được tính từ giá tháng và giá năm trong sheet giả định.</t>
  </si>
  <si>
    <t>DIA+ Clinic/Tháng</t>
  </si>
  <si>
    <t>Phòng khám, Bệnh viện, Trung tâm y tế</t>
  </si>
  <si>
    <t>Thuê bao SaaS cho phòng khám; số cơ sở hoạt động bình quân phản ánh thời điểm ký mới trong năm.</t>
  </si>
  <si>
    <t>DIA+ Clinic/Năm</t>
  </si>
  <si>
    <t>Thuê bao SaaS cho bệnh viện; gồm quản lý bệnh nhân từ xa, cảnh báo và chia sẻ dữ liệu với bác sĩ.</t>
  </si>
  <si>
    <t>Phí triển khai/bệnh viện</t>
  </si>
  <si>
    <t>Cơ sở ký mới</t>
  </si>
  <si>
    <t>Một lần</t>
  </si>
  <si>
    <t>Doanh thu một lần = số cơ sở ký mới × phí triển khai theo từng loại cơ sở.</t>
  </si>
  <si>
    <t>Phí triển khai/phòng khám</t>
  </si>
  <si>
    <t>Phí đào tạo</t>
  </si>
  <si>
    <t>Doanh thu dịch vụ một lần = số cơ sở ký mới × phí đào tạo.</t>
  </si>
  <si>
    <t>Phí tích hợp hệ thống/API</t>
  </si>
  <si>
    <t>Cơ sở mua tích hợp</t>
  </si>
  <si>
    <t>Doanh thu tích hợp = số cơ sở ký mới × tỷ lệ mua API × phí tích hợp hệ thống.</t>
  </si>
  <si>
    <t>TỔNG HỢP DOANH THU &amp; CHỈ SỐ SaaS</t>
  </si>
  <si>
    <t>Doanh thu định kỳ B2C</t>
  </si>
  <si>
    <t>Doanh thu định kỳ B2B</t>
  </si>
  <si>
    <t>Doanh thu triển khai một lần/bệnh viện</t>
  </si>
  <si>
    <t>Doanh thu triển khai một lần/phòng khám</t>
  </si>
  <si>
    <t>Doanh thu dịch vụ khác</t>
  </si>
  <si>
    <t>ARPU B2C / tháng - Doanh thu trung bình trên 1 người dùng mỗi tháng</t>
  </si>
  <si>
    <t>ARPU B2B / tháng - Doanh thu trung bình trên một khách hàng doanh nghiệp mỗi tháng</t>
  </si>
  <si>
    <t>MRR (Monthly Recurring Revenue - Doanh thu định kỳ hàng tháng)</t>
  </si>
  <si>
    <t>ARR  (Annual Recurring Revenue - Doanh thu định kỳ hàng năm)</t>
  </si>
  <si>
    <t>Tăng trưởng doanh thu</t>
  </si>
  <si>
    <t>Tỷ lệ doanh thu định kỳ</t>
  </si>
  <si>
    <t>Doanh thu / MAU</t>
  </si>
  <si>
    <t>DIA+ - DASHBOARD TÀI CHÍNH 3 NĂM</t>
  </si>
  <si>
    <t>Kịch bản thi khởi nghiệp: Lean MVP → Pilot y tế → Mở rộng B2B2C</t>
  </si>
  <si>
    <t>KPI VẬN HÀNH &amp; TÀI CHÍNH</t>
  </si>
  <si>
    <t>CHỈ SỐ NHÀ ĐẦU TƯ</t>
  </si>
  <si>
    <t>Người dùng hoạt động</t>
  </si>
  <si>
    <t>Doanh thu hòa vốn</t>
  </si>
  <si>
    <t>CAC B2C Năm 3</t>
  </si>
  <si>
    <t>LTV B2C 12T Năm 3</t>
  </si>
  <si>
    <t>Số cơ sở y tế</t>
  </si>
  <si>
    <t>Burn Rate</t>
  </si>
  <si>
    <t>Doanh thu</t>
  </si>
  <si>
    <t>CAC B2B Năm 3</t>
  </si>
  <si>
    <t>ARR</t>
  </si>
  <si>
    <t>LTV B2B 24T Năm 3</t>
  </si>
  <si>
    <t>Tổng chi phí</t>
  </si>
  <si>
    <t>KẾT LUẬN TỰ ĐỘNG</t>
  </si>
  <si>
    <t>Hiệu quả tài chính</t>
  </si>
  <si>
    <t>Hòa vốn</t>
  </si>
  <si>
    <t>Khuyến nghị tổng hợp</t>
  </si>
  <si>
    <t>Cơ cấu doanh thu Năm 3</t>
  </si>
  <si>
    <t>Triển khai &amp; dịch vụ</t>
  </si>
  <si>
    <t>Pro</t>
  </si>
  <si>
    <t>Dòng tiền ròng tổng hợp (IRR)</t>
  </si>
  <si>
    <t>Giá trị thanh lý (Terminal Value)</t>
  </si>
  <si>
    <t>Dòng tiền ròng tổng hợp (chạy IRR)</t>
  </si>
  <si>
    <t>Dòng tiền lũy kế (Funding)</t>
  </si>
  <si>
    <t>Thời gian hoàn vốn (DPP)</t>
  </si>
  <si>
    <t>&gt; 3</t>
  </si>
  <si>
    <t>năm (Chưa thu hồi vốn)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</si>
</sst>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;[Red]\(#,##0\);\-"/>
    <numFmt numFmtId="165" formatCode="#,##0&quot; ₫&quot;;[Red]\(#,##0&quot; ₫)&quot;;\-"/>
    <numFmt numFmtId="166" formatCode="0.0&quot; năm&quot;"/>
    <numFmt numFmtId="167" formatCode="0.0%;[Red]\(0.0%\);\-"/>
    <numFmt numFmtId="168" formatCode="0.0%"/>
    <numFmt numFmtId="169" formatCode="0.0&quot; tháng&quot;"/>
    <numFmt numFmtId="170" formatCode="0.0\x"/>
    <numFmt numFmtId="171" formatCode="0.0;[Red]\(0.0\);\-"/>
    <numFmt numFmtId="172" formatCode="#,##0\ [$₫-42A];[Red]\-#,##0\ [$₫-42A]"/>
    <numFmt numFmtId="173" formatCode="0.0"/>
    <numFmt numFmtId="174" formatCode="#,##0\ [$₫-42A]"/>
  </numFmts>
  <fonts count="46" x14ac:knownFonts="1">
    <font>
      <sz val="11"/>
      <color rgb="FF000000"/>
      <name val="Calibri"/>
      <charset val="1"/>
    </font>
    <font>
      <b/>
      <sz val="18"/>
      <color rgb="FFFFFFFF"/>
      <name val="Times New Roman"/>
      <charset val="1"/>
    </font>
    <font>
      <sz val="14"/>
      <color theme="1"/>
      <name val="Times New Roman"/>
      <charset val="1"/>
    </font>
    <font>
      <sz val="14"/>
      <color rgb="FF000000"/>
      <name val="Times New Roman"/>
      <charset val="1"/>
    </font>
    <font>
      <b/>
      <sz val="14"/>
      <color rgb="FF000000"/>
      <name val="Times New Roman"/>
      <charset val="1"/>
    </font>
    <font>
      <sz val="14"/>
      <color rgb="FF008000"/>
      <name val="Times New Roman"/>
      <charset val="1"/>
    </font>
    <font>
      <sz val="11"/>
      <color theme="1"/>
      <name val="Calibri"/>
      <charset val="1"/>
    </font>
    <font>
      <u/>
      <sz val="14"/>
      <color rgb="FF000000"/>
      <name val="Times New Roman"/>
      <charset val="1"/>
    </font>
    <font>
      <sz val="14"/>
      <color rgb="FF274E13"/>
      <name val="Times New Roman"/>
      <charset val="1"/>
    </font>
    <font>
      <sz val="14"/>
      <color rgb="FFFF0000"/>
      <name val="Times New Roman"/>
      <charset val="1"/>
    </font>
    <font>
      <b/>
      <sz val="20"/>
      <color rgb="FFFFFFFF"/>
      <name val="Times New Roman"/>
      <charset val="1"/>
    </font>
    <font>
      <b/>
      <sz val="14"/>
      <color theme="1"/>
      <name val="Times New Roman"/>
      <charset val="1"/>
    </font>
    <font>
      <b/>
      <sz val="14"/>
      <color rgb="FF0000FF"/>
      <name val="Times New Roman"/>
      <charset val="1"/>
    </font>
    <font>
      <i/>
      <sz val="14"/>
      <color rgb="FF000000"/>
      <name val="Times New Roman"/>
      <charset val="1"/>
    </font>
    <font>
      <b/>
      <sz val="14"/>
      <color rgb="FFC00000"/>
      <name val="Times New Roman"/>
      <charset val="1"/>
    </font>
    <font>
      <b/>
      <sz val="14"/>
      <color rgb="FFFFFFFF"/>
      <name val="Times New Roman"/>
      <charset val="1"/>
    </font>
    <font>
      <b/>
      <sz val="16"/>
      <color rgb="FFFFFFFF"/>
      <name val="Times New Roman"/>
      <charset val="1"/>
    </font>
    <font>
      <sz val="16"/>
      <color theme="1"/>
      <name val="Times New Roman"/>
      <charset val="1"/>
    </font>
    <font>
      <i/>
      <sz val="16"/>
      <color rgb="FF666666"/>
      <name val="Times New Roman"/>
      <charset val="1"/>
    </font>
    <font>
      <b/>
      <sz val="16"/>
      <color rgb="FF000000"/>
      <name val="Times New Roman"/>
      <charset val="1"/>
    </font>
    <font>
      <sz val="16"/>
      <color rgb="FF000000"/>
      <name val="Times New Roman"/>
      <charset val="1"/>
    </font>
    <font>
      <sz val="16"/>
      <color rgb="FF008000"/>
      <name val="Times New Roman"/>
      <charset val="1"/>
    </font>
    <font>
      <b/>
      <sz val="16"/>
      <color rgb="FFFF0000"/>
      <name val="Times New Roman"/>
      <charset val="1"/>
    </font>
    <font>
      <sz val="14"/>
      <color rgb="FF2E7D32"/>
      <name val="Times New Roman"/>
      <charset val="1"/>
    </font>
    <font>
      <sz val="17"/>
      <color rgb="FF000000"/>
      <name val="Times New Roman"/>
      <charset val="1"/>
    </font>
    <font>
      <i/>
      <sz val="14"/>
      <color rgb="FF666666"/>
      <name val="Times New Roman"/>
      <charset val="1"/>
    </font>
    <font>
      <sz val="14"/>
      <color rgb="FFFFFFFF"/>
      <name val="Times New Roman"/>
      <charset val="1"/>
    </font>
    <font>
      <b/>
      <sz val="14"/>
      <color rgb="FF0B3B70"/>
      <name val="Times New Roman"/>
      <charset val="1"/>
    </font>
    <font>
      <b/>
      <sz val="15"/>
      <color rgb="FFFFFFFF"/>
      <name val="Times New Roman"/>
      <charset val="1"/>
    </font>
    <font>
      <sz val="15"/>
      <color theme="1"/>
      <name val="Times New Roman"/>
      <charset val="1"/>
    </font>
    <font>
      <b/>
      <sz val="15"/>
      <color rgb="FF000000"/>
      <name val="Times New Roman"/>
      <charset val="1"/>
    </font>
    <font>
      <sz val="15"/>
      <color rgb="FF000000"/>
      <name val="Times New Roman"/>
      <charset val="1"/>
    </font>
    <font>
      <sz val="15"/>
      <color rgb="FF008000"/>
      <name val="Times New Roman"/>
      <charset val="1"/>
    </font>
    <font>
      <b/>
      <sz val="15"/>
      <color rgb="FF1F4E78"/>
      <name val="Times New Roman"/>
      <charset val="1"/>
    </font>
    <font>
      <b/>
      <sz val="15"/>
      <color rgb="FF0B3B70"/>
      <name val="Times New Roman"/>
      <charset val="1"/>
    </font>
    <font>
      <b/>
      <sz val="15"/>
      <color rgb="FFFF0000"/>
      <name val="Times New Roman"/>
      <charset val="1"/>
    </font>
    <font>
      <b/>
      <sz val="15"/>
      <color theme="1"/>
      <name val="Times New Roman"/>
      <charset val="1"/>
    </font>
    <font>
      <b/>
      <sz val="15"/>
      <color rgb="FF008000"/>
      <name val="Times New Roman"/>
      <charset val="1"/>
    </font>
    <font>
      <b/>
      <sz val="26"/>
      <color rgb="FFFFFFFF"/>
      <name val="Times New Roman"/>
      <family val="1"/>
      <charset val="1"/>
    </font>
    <font>
      <b/>
      <sz val="14"/>
      <color rgb="FFFF0000"/>
      <name val="Times New Roman"/>
      <charset val="1"/>
    </font>
    <font>
      <b/>
      <i/>
      <sz val="14"/>
      <color rgb="FF1F4E78"/>
      <name val="Times New Roman"/>
      <charset val="1"/>
    </font>
    <font>
      <b/>
      <sz val="14"/>
      <color rgb="FF008000"/>
      <name val="Times New Roman"/>
      <charset val="1"/>
    </font>
    <font>
      <b/>
      <sz val="14"/>
      <color rgb="FF006100"/>
      <name val="Times New Roman"/>
      <charset val="1"/>
    </font>
    <font>
      <b/>
      <sz val="14"/>
      <color rgb="FF9C6500"/>
      <name val="Times New Roman"/>
      <charset val="1"/>
    </font>
    <font>
      <b/>
      <sz val="14"/>
      <color rgb="FF1F4E78"/>
      <name val="Times New Roman"/>
      <charset val="1"/>
    </font>
    <font>
      <i/>
      <sz val="14"/>
      <color rgb="FF0B3B70"/>
      <name val="Times New Roman"/>
      <charset val="1"/>
    </font>
  </fonts>
  <fills count="30">
    <fill>
      <patternFill patternType="none"/>
    </fill>
    <fill>
      <patternFill patternType="gray125"/>
    </fill>
    <fill>
      <patternFill patternType="solid">
        <fgColor rgb="FF244061"/>
        <bgColor rgb="FF1F4E78"/>
      </patternFill>
    </fill>
    <fill>
      <patternFill patternType="solid">
        <fgColor rgb="FFFFFFFF"/>
        <bgColor rgb="FFF7FBFF"/>
      </patternFill>
    </fill>
    <fill>
      <patternFill patternType="solid">
        <fgColor rgb="FFBDD7EE"/>
        <bgColor rgb="FFC1E5F5"/>
      </patternFill>
    </fill>
    <fill>
      <patternFill patternType="solid">
        <fgColor rgb="FF93C47D"/>
        <bgColor rgb="FFB7B7B7"/>
      </patternFill>
    </fill>
    <fill>
      <patternFill patternType="solid">
        <fgColor rgb="FFFFE599"/>
        <bgColor rgb="FFFFD966"/>
      </patternFill>
    </fill>
    <fill>
      <patternFill patternType="solid">
        <fgColor rgb="FFF2F2F2"/>
        <bgColor rgb="FFEEF5FB"/>
      </patternFill>
    </fill>
    <fill>
      <patternFill patternType="solid">
        <fgColor rgb="FFFFD966"/>
        <bgColor rgb="FFFFE599"/>
      </patternFill>
    </fill>
    <fill>
      <patternFill patternType="solid">
        <fgColor rgb="FFFF9900"/>
        <bgColor rgb="FFF1C232"/>
      </patternFill>
    </fill>
    <fill>
      <patternFill patternType="solid">
        <fgColor rgb="FFFFF2CC"/>
        <bgColor rgb="FFFDE9E7"/>
      </patternFill>
    </fill>
    <fill>
      <patternFill patternType="solid">
        <fgColor rgb="FFE2F0D9"/>
        <bgColor rgb="FFE8F5E9"/>
      </patternFill>
    </fill>
    <fill>
      <patternFill patternType="solid">
        <fgColor rgb="FFF9F9F9"/>
        <bgColor rgb="FFF7FBFF"/>
      </patternFill>
    </fill>
    <fill>
      <patternFill patternType="solid">
        <fgColor rgb="FFFCE4D6"/>
        <bgColor rgb="FFFDE9E7"/>
      </patternFill>
    </fill>
    <fill>
      <patternFill patternType="solid">
        <fgColor rgb="FFB7E1CD"/>
        <bgColor rgb="FFBDD7EE"/>
      </patternFill>
    </fill>
    <fill>
      <patternFill patternType="solid">
        <fgColor rgb="FFFFFF00"/>
        <bgColor rgb="FFFFD966"/>
      </patternFill>
    </fill>
    <fill>
      <patternFill patternType="solid">
        <fgColor rgb="FFFF0000"/>
        <bgColor rgb="FFC00000"/>
      </patternFill>
    </fill>
    <fill>
      <patternFill patternType="solid">
        <fgColor rgb="FFF1C232"/>
        <bgColor rgb="FFD6B656"/>
      </patternFill>
    </fill>
    <fill>
      <patternFill patternType="solid">
        <fgColor rgb="FF1F4E78"/>
        <bgColor rgb="FF1C4587"/>
      </patternFill>
    </fill>
    <fill>
      <patternFill patternType="solid">
        <fgColor rgb="FF1C4587"/>
        <bgColor rgb="FF1F4E78"/>
      </patternFill>
    </fill>
    <fill>
      <patternFill patternType="solid">
        <fgColor rgb="FF3D85C6"/>
        <bgColor rgb="FF156082"/>
      </patternFill>
    </fill>
    <fill>
      <patternFill patternType="solid">
        <fgColor rgb="FF00FF00"/>
        <bgColor rgb="FF008000"/>
      </patternFill>
    </fill>
    <fill>
      <patternFill patternType="solid">
        <fgColor theme="4" tint="0.79989013336588644"/>
        <bgColor rgb="FFBDD7EE"/>
      </patternFill>
    </fill>
    <fill>
      <patternFill patternType="solid">
        <fgColor rgb="FFD9EAF7"/>
        <bgColor rgb="FFDDEBF7"/>
      </patternFill>
    </fill>
    <fill>
      <patternFill patternType="solid">
        <fgColor rgb="FFD9E1F2"/>
        <bgColor rgb="FFD9EAF7"/>
      </patternFill>
    </fill>
    <fill>
      <patternFill patternType="solid">
        <fgColor rgb="FFEEF5FB"/>
        <bgColor rgb="FFF2F2F2"/>
      </patternFill>
    </fill>
    <fill>
      <patternFill patternType="solid">
        <fgColor rgb="FF0B5394"/>
        <bgColor rgb="FF156082"/>
      </patternFill>
    </fill>
    <fill>
      <patternFill patternType="solid">
        <fgColor rgb="FFF7FBFF"/>
        <bgColor rgb="FFF9F9F9"/>
      </patternFill>
    </fill>
    <fill>
      <patternFill patternType="solid">
        <fgColor rgb="FFE8F5E9"/>
        <bgColor rgb="FFF2F2F2"/>
      </patternFill>
    </fill>
    <fill>
      <patternFill patternType="solid">
        <fgColor rgb="FFDDEBF7"/>
        <bgColor rgb="FFD9EAF7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1F4E78"/>
      </bottom>
      <diagonal/>
    </border>
    <border>
      <left/>
      <right/>
      <top style="thin">
        <color rgb="FFBFBFBF"/>
      </top>
      <bottom style="double">
        <color rgb="FF1F4E78"/>
      </bottom>
      <diagonal/>
    </border>
    <border>
      <left/>
      <right style="thin">
        <color rgb="FFBFBFBF"/>
      </right>
      <top style="thin">
        <color rgb="FFBFBFBF"/>
      </top>
      <bottom style="double">
        <color rgb="FF1F4E78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AFC7DA"/>
      </left>
      <right style="thin">
        <color rgb="FFAFC7DA"/>
      </right>
      <top style="thin">
        <color rgb="FFAFC7DA"/>
      </top>
      <bottom style="thin">
        <color rgb="FFAFC7DA"/>
      </bottom>
      <diagonal/>
    </border>
    <border>
      <left/>
      <right/>
      <top/>
      <bottom style="thin">
        <color rgb="FFBFBFBF"/>
      </bottom>
      <diagonal/>
    </border>
    <border>
      <left style="thin">
        <color rgb="FF0B3B70"/>
      </left>
      <right style="thin">
        <color rgb="FF0B3B70"/>
      </right>
      <top style="thin">
        <color rgb="FF0B3B70"/>
      </top>
      <bottom style="thin">
        <color rgb="FF0B3B70"/>
      </bottom>
      <diagonal/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  <diagonal/>
    </border>
  </borders>
  <cellStyleXfs count="1">
    <xf numFmtId="0" fontId="0" fillId="0" borderId="0"/>
  </cellStyleXfs>
  <cellXfs count="235">
    <xf numFmtId="0" fontId="0" fillId="0" borderId="0" xfId="0"/>
    <xf numFmtId="0" fontId="2" fillId="0" borderId="0" xfId="0" applyFont="1"/>
    <xf numFmtId="0" fontId="3" fillId="3" borderId="5" xfId="0" applyFont="1" applyFill="1" applyBorder="1" applyAlignment="1">
      <alignment vertical="center" wrapText="1"/>
    </xf>
    <xf numFmtId="0" fontId="2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164" fontId="5" fillId="5" borderId="1" xfId="0" applyNumberFormat="1" applyFont="1" applyFill="1" applyBorder="1" applyAlignment="1">
      <alignment vertical="center" wrapText="1"/>
    </xf>
    <xf numFmtId="165" fontId="5" fillId="5" borderId="1" xfId="0" applyNumberFormat="1" applyFont="1" applyFill="1" applyBorder="1" applyAlignment="1">
      <alignment vertical="center" wrapText="1"/>
    </xf>
    <xf numFmtId="166" fontId="5" fillId="5" borderId="1" xfId="0" applyNumberFormat="1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horizontal="left" vertical="top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164" fontId="5" fillId="3" borderId="1" xfId="0" applyNumberFormat="1" applyFont="1" applyFill="1" applyBorder="1" applyAlignment="1">
      <alignment vertical="center" wrapText="1"/>
    </xf>
    <xf numFmtId="165" fontId="5" fillId="3" borderId="1" xfId="0" applyNumberFormat="1" applyFont="1" applyFill="1" applyBorder="1" applyAlignment="1">
      <alignment vertical="center" wrapText="1"/>
    </xf>
    <xf numFmtId="166" fontId="5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2" fillId="6" borderId="0" xfId="0" applyFont="1" applyFill="1" applyAlignment="1">
      <alignment horizontal="left" vertical="top" wrapText="1"/>
    </xf>
    <xf numFmtId="0" fontId="6" fillId="3" borderId="0" xfId="0" applyFont="1" applyFill="1"/>
    <xf numFmtId="0" fontId="2" fillId="0" borderId="1" xfId="0" applyFont="1" applyBorder="1" applyAlignment="1">
      <alignment horizontal="center"/>
    </xf>
    <xf numFmtId="0" fontId="2" fillId="3" borderId="0" xfId="0" applyFont="1" applyFill="1" applyAlignment="1">
      <alignment horizontal="left" vertical="top"/>
    </xf>
    <xf numFmtId="0" fontId="7" fillId="3" borderId="1" xfId="0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8" fillId="3" borderId="1" xfId="0" applyFont="1" applyFill="1" applyBorder="1" applyAlignment="1">
      <alignment vertical="center"/>
    </xf>
    <xf numFmtId="3" fontId="5" fillId="3" borderId="1" xfId="0" applyNumberFormat="1" applyFont="1" applyFill="1" applyBorder="1" applyAlignment="1">
      <alignment horizontal="right" vertical="center"/>
    </xf>
    <xf numFmtId="3" fontId="3" fillId="3" borderId="1" xfId="0" applyNumberFormat="1" applyFont="1" applyFill="1" applyBorder="1" applyAlignment="1">
      <alignment horizontal="right" vertical="center"/>
    </xf>
    <xf numFmtId="3" fontId="3" fillId="3" borderId="1" xfId="0" applyNumberFormat="1" applyFont="1" applyFill="1" applyBorder="1" applyAlignment="1">
      <alignment horizontal="center" vertical="center"/>
    </xf>
    <xf numFmtId="0" fontId="2" fillId="3" borderId="0" xfId="0" applyFont="1" applyFill="1"/>
    <xf numFmtId="0" fontId="3" fillId="3" borderId="1" xfId="0" applyFont="1" applyFill="1" applyBorder="1" applyAlignment="1">
      <alignment vertical="center"/>
    </xf>
    <xf numFmtId="3" fontId="3" fillId="3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vertical="center" wrapText="1"/>
    </xf>
    <xf numFmtId="165" fontId="5" fillId="0" borderId="1" xfId="0" applyNumberFormat="1" applyFont="1" applyBorder="1" applyAlignment="1">
      <alignment vertical="center" wrapText="1"/>
    </xf>
    <xf numFmtId="0" fontId="2" fillId="0" borderId="2" xfId="0" applyFont="1" applyBorder="1" applyAlignment="1">
      <alignment horizontal="center"/>
    </xf>
    <xf numFmtId="166" fontId="5" fillId="3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165" fontId="9" fillId="7" borderId="1" xfId="0" applyNumberFormat="1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11" fillId="0" borderId="1" xfId="0" applyFont="1" applyBorder="1"/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/>
    <xf numFmtId="0" fontId="13" fillId="0" borderId="4" xfId="0" applyFont="1" applyBorder="1"/>
    <xf numFmtId="0" fontId="4" fillId="4" borderId="4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left" vertical="center"/>
    </xf>
    <xf numFmtId="0" fontId="3" fillId="0" borderId="0" xfId="0" applyFont="1"/>
    <xf numFmtId="164" fontId="3" fillId="10" borderId="1" xfId="0" applyNumberFormat="1" applyFont="1" applyFill="1" applyBorder="1" applyAlignment="1">
      <alignment vertical="center" wrapText="1"/>
    </xf>
    <xf numFmtId="164" fontId="3" fillId="11" borderId="1" xfId="0" applyNumberFormat="1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14" fillId="13" borderId="4" xfId="0" applyFont="1" applyFill="1" applyBorder="1" applyAlignment="1">
      <alignment vertical="center" wrapText="1"/>
    </xf>
    <xf numFmtId="167" fontId="3" fillId="10" borderId="1" xfId="0" applyNumberFormat="1" applyFont="1" applyFill="1" applyBorder="1" applyAlignment="1">
      <alignment vertical="center" wrapText="1"/>
    </xf>
    <xf numFmtId="167" fontId="3" fillId="11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wrapText="1"/>
    </xf>
    <xf numFmtId="167" fontId="2" fillId="10" borderId="1" xfId="0" applyNumberFormat="1" applyFont="1" applyFill="1" applyBorder="1" applyAlignment="1">
      <alignment horizontal="right" wrapText="1"/>
    </xf>
    <xf numFmtId="167" fontId="2" fillId="11" borderId="1" xfId="0" applyNumberFormat="1" applyFont="1" applyFill="1" applyBorder="1" applyAlignment="1">
      <alignment horizontal="right" wrapText="1"/>
    </xf>
    <xf numFmtId="0" fontId="2" fillId="12" borderId="1" xfId="0" applyFont="1" applyFill="1" applyBorder="1" applyAlignment="1">
      <alignment wrapText="1"/>
    </xf>
    <xf numFmtId="0" fontId="11" fillId="0" borderId="4" xfId="0" applyFont="1" applyBorder="1" applyAlignment="1">
      <alignment wrapText="1"/>
    </xf>
    <xf numFmtId="0" fontId="6" fillId="0" borderId="0" xfId="0" applyFont="1"/>
    <xf numFmtId="9" fontId="3" fillId="14" borderId="1" xfId="0" applyNumberFormat="1" applyFont="1" applyFill="1" applyBorder="1" applyAlignment="1">
      <alignment vertical="center" wrapText="1"/>
    </xf>
    <xf numFmtId="167" fontId="3" fillId="14" borderId="1" xfId="0" applyNumberFormat="1" applyFont="1" applyFill="1" applyBorder="1" applyAlignment="1">
      <alignment vertical="center" wrapText="1"/>
    </xf>
    <xf numFmtId="0" fontId="14" fillId="14" borderId="4" xfId="0" applyFont="1" applyFill="1" applyBorder="1" applyAlignment="1">
      <alignment vertical="center" wrapText="1"/>
    </xf>
    <xf numFmtId="0" fontId="3" fillId="14" borderId="1" xfId="0" applyFont="1" applyFill="1" applyBorder="1" applyAlignment="1">
      <alignment vertical="center" wrapText="1"/>
    </xf>
    <xf numFmtId="3" fontId="3" fillId="14" borderId="1" xfId="0" applyNumberFormat="1" applyFont="1" applyFill="1" applyBorder="1" applyAlignment="1">
      <alignment vertical="center" wrapText="1"/>
    </xf>
    <xf numFmtId="0" fontId="2" fillId="0" borderId="1" xfId="0" applyFont="1" applyBorder="1"/>
    <xf numFmtId="3" fontId="3" fillId="10" borderId="1" xfId="0" applyNumberFormat="1" applyFont="1" applyFill="1" applyBorder="1" applyAlignment="1">
      <alignment vertical="center" wrapText="1"/>
    </xf>
    <xf numFmtId="3" fontId="3" fillId="11" borderId="1" xfId="0" applyNumberFormat="1" applyFont="1" applyFill="1" applyBorder="1" applyAlignment="1">
      <alignment vertical="center" wrapText="1"/>
    </xf>
    <xf numFmtId="168" fontId="3" fillId="10" borderId="1" xfId="0" applyNumberFormat="1" applyFont="1" applyFill="1" applyBorder="1" applyAlignment="1">
      <alignment vertical="center" wrapText="1"/>
    </xf>
    <xf numFmtId="9" fontId="3" fillId="10" borderId="1" xfId="0" applyNumberFormat="1" applyFont="1" applyFill="1" applyBorder="1" applyAlignment="1">
      <alignment vertical="center" wrapText="1"/>
    </xf>
    <xf numFmtId="10" fontId="3" fillId="10" borderId="1" xfId="0" applyNumberFormat="1" applyFont="1" applyFill="1" applyBorder="1" applyAlignment="1">
      <alignment vertical="center" wrapText="1"/>
    </xf>
    <xf numFmtId="0" fontId="3" fillId="15" borderId="1" xfId="0" applyFont="1" applyFill="1" applyBorder="1" applyAlignment="1">
      <alignment vertical="center" wrapText="1"/>
    </xf>
    <xf numFmtId="0" fontId="3" fillId="16" borderId="1" xfId="0" applyFont="1" applyFill="1" applyBorder="1" applyAlignment="1">
      <alignment vertical="center" wrapText="1"/>
    </xf>
    <xf numFmtId="165" fontId="3" fillId="15" borderId="1" xfId="0" applyNumberFormat="1" applyFont="1" applyFill="1" applyBorder="1" applyAlignment="1">
      <alignment vertical="center" wrapText="1"/>
    </xf>
    <xf numFmtId="165" fontId="3" fillId="11" borderId="1" xfId="0" applyNumberFormat="1" applyFont="1" applyFill="1" applyBorder="1" applyAlignment="1">
      <alignment vertical="center" wrapText="1"/>
    </xf>
    <xf numFmtId="167" fontId="3" fillId="15" borderId="1" xfId="0" applyNumberFormat="1" applyFont="1" applyFill="1" applyBorder="1" applyAlignment="1">
      <alignment vertical="center" wrapText="1"/>
    </xf>
    <xf numFmtId="165" fontId="3" fillId="10" borderId="1" xfId="0" applyNumberFormat="1" applyFont="1" applyFill="1" applyBorder="1" applyAlignment="1">
      <alignment vertical="center" wrapText="1"/>
    </xf>
    <xf numFmtId="166" fontId="3" fillId="15" borderId="1" xfId="0" applyNumberFormat="1" applyFont="1" applyFill="1" applyBorder="1" applyAlignment="1">
      <alignment vertical="center" wrapText="1"/>
    </xf>
    <xf numFmtId="166" fontId="3" fillId="11" borderId="1" xfId="0" applyNumberFormat="1" applyFont="1" applyFill="1" applyBorder="1" applyAlignment="1">
      <alignment vertical="center" wrapText="1"/>
    </xf>
    <xf numFmtId="169" fontId="3" fillId="15" borderId="1" xfId="0" applyNumberFormat="1" applyFont="1" applyFill="1" applyBorder="1" applyAlignment="1">
      <alignment vertical="center" wrapText="1"/>
    </xf>
    <xf numFmtId="169" fontId="3" fillId="11" borderId="1" xfId="0" applyNumberFormat="1" applyFont="1" applyFill="1" applyBorder="1" applyAlignment="1">
      <alignment vertical="center" wrapText="1"/>
    </xf>
    <xf numFmtId="165" fontId="3" fillId="10" borderId="1" xfId="0" applyNumberFormat="1" applyFont="1" applyFill="1" applyBorder="1" applyAlignment="1">
      <alignment horizontal="right" vertical="center" wrapText="1"/>
    </xf>
    <xf numFmtId="164" fontId="2" fillId="10" borderId="1" xfId="0" applyNumberFormat="1" applyFont="1" applyFill="1" applyBorder="1"/>
    <xf numFmtId="164" fontId="6" fillId="10" borderId="1" xfId="0" applyNumberFormat="1" applyFont="1" applyFill="1" applyBorder="1"/>
    <xf numFmtId="164" fontId="6" fillId="10" borderId="1" xfId="0" applyNumberFormat="1" applyFont="1" applyFill="1" applyBorder="1" applyAlignment="1">
      <alignment vertical="top"/>
    </xf>
    <xf numFmtId="0" fontId="2" fillId="3" borderId="1" xfId="0" applyFont="1" applyFill="1" applyBorder="1"/>
    <xf numFmtId="0" fontId="7" fillId="12" borderId="1" xfId="0" applyFont="1" applyFill="1" applyBorder="1" applyAlignment="1">
      <alignment vertical="center" wrapText="1"/>
    </xf>
    <xf numFmtId="0" fontId="4" fillId="17" borderId="1" xfId="0" applyFont="1" applyFill="1" applyBorder="1" applyAlignment="1">
      <alignment horizontal="left" vertical="center"/>
    </xf>
    <xf numFmtId="0" fontId="15" fillId="17" borderId="1" xfId="0" applyFont="1" applyFill="1" applyBorder="1" applyAlignment="1">
      <alignment horizontal="left" vertical="center"/>
    </xf>
    <xf numFmtId="0" fontId="15" fillId="17" borderId="4" xfId="0" applyFont="1" applyFill="1" applyBorder="1" applyAlignment="1">
      <alignment horizontal="left" vertical="center"/>
    </xf>
    <xf numFmtId="170" fontId="3" fillId="10" borderId="1" xfId="0" applyNumberFormat="1" applyFont="1" applyFill="1" applyBorder="1" applyAlignment="1">
      <alignment vertical="center" wrapText="1"/>
    </xf>
    <xf numFmtId="170" fontId="3" fillId="11" borderId="1" xfId="0" applyNumberFormat="1" applyFont="1" applyFill="1" applyBorder="1" applyAlignment="1">
      <alignment vertical="center" wrapText="1"/>
    </xf>
    <xf numFmtId="0" fontId="17" fillId="0" borderId="0" xfId="0" applyFont="1"/>
    <xf numFmtId="0" fontId="6" fillId="19" borderId="0" xfId="0" applyFont="1" applyFill="1"/>
    <xf numFmtId="0" fontId="19" fillId="4" borderId="5" xfId="0" applyFont="1" applyFill="1" applyBorder="1" applyAlignment="1">
      <alignment horizontal="center" vertical="center" wrapText="1"/>
    </xf>
    <xf numFmtId="0" fontId="19" fillId="4" borderId="0" xfId="0" applyFont="1" applyFill="1" applyAlignment="1">
      <alignment horizontal="center" vertical="center"/>
    </xf>
    <xf numFmtId="0" fontId="20" fillId="3" borderId="5" xfId="0" applyFont="1" applyFill="1" applyBorder="1" applyAlignment="1">
      <alignment vertical="center" wrapText="1"/>
    </xf>
    <xf numFmtId="164" fontId="21" fillId="3" borderId="5" xfId="0" applyNumberFormat="1" applyFont="1" applyFill="1" applyBorder="1" applyAlignment="1">
      <alignment vertical="center" wrapText="1"/>
    </xf>
    <xf numFmtId="165" fontId="21" fillId="3" borderId="5" xfId="0" applyNumberFormat="1" applyFont="1" applyFill="1" applyBorder="1" applyAlignment="1">
      <alignment vertical="center" wrapText="1"/>
    </xf>
    <xf numFmtId="0" fontId="21" fillId="3" borderId="5" xfId="0" applyFont="1" applyFill="1" applyBorder="1" applyAlignment="1">
      <alignment vertical="center" wrapText="1"/>
    </xf>
    <xf numFmtId="166" fontId="21" fillId="3" borderId="5" xfId="0" applyNumberFormat="1" applyFont="1" applyFill="1" applyBorder="1" applyAlignment="1">
      <alignment vertical="center" wrapText="1"/>
    </xf>
    <xf numFmtId="0" fontId="19" fillId="7" borderId="6" xfId="0" applyFont="1" applyFill="1" applyBorder="1" applyAlignment="1">
      <alignment vertical="center"/>
    </xf>
    <xf numFmtId="165" fontId="22" fillId="7" borderId="6" xfId="0" applyNumberFormat="1" applyFont="1" applyFill="1" applyBorder="1" applyAlignment="1">
      <alignment vertical="center"/>
    </xf>
    <xf numFmtId="0" fontId="23" fillId="0" borderId="0" xfId="0" applyFont="1" applyAlignment="1">
      <alignment horizontal="right"/>
    </xf>
    <xf numFmtId="165" fontId="19" fillId="7" borderId="6" xfId="0" applyNumberFormat="1" applyFont="1" applyFill="1" applyBorder="1" applyAlignment="1">
      <alignment vertical="center"/>
    </xf>
    <xf numFmtId="0" fontId="24" fillId="3" borderId="5" xfId="0" applyFont="1" applyFill="1" applyBorder="1" applyAlignment="1">
      <alignment vertical="center" wrapText="1"/>
    </xf>
    <xf numFmtId="165" fontId="20" fillId="3" borderId="5" xfId="0" applyNumberFormat="1" applyFont="1" applyFill="1" applyBorder="1" applyAlignment="1">
      <alignment vertical="center" wrapText="1"/>
    </xf>
    <xf numFmtId="165" fontId="19" fillId="7" borderId="6" xfId="0" applyNumberFormat="1" applyFont="1" applyFill="1" applyBorder="1" applyAlignment="1">
      <alignment vertical="center" wrapText="1"/>
    </xf>
    <xf numFmtId="0" fontId="19" fillId="7" borderId="7" xfId="0" applyFont="1" applyFill="1" applyBorder="1"/>
    <xf numFmtId="0" fontId="19" fillId="7" borderId="8" xfId="0" applyFont="1" applyFill="1" applyBorder="1"/>
    <xf numFmtId="0" fontId="11" fillId="21" borderId="0" xfId="0" applyFont="1" applyFill="1"/>
    <xf numFmtId="0" fontId="2" fillId="22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vertical="center" wrapText="1"/>
    </xf>
    <xf numFmtId="164" fontId="2" fillId="0" borderId="1" xfId="0" applyNumberFormat="1" applyFont="1" applyBorder="1"/>
    <xf numFmtId="167" fontId="3" fillId="3" borderId="1" xfId="0" applyNumberFormat="1" applyFont="1" applyFill="1" applyBorder="1" applyAlignment="1">
      <alignment vertical="center" wrapText="1"/>
    </xf>
    <xf numFmtId="167" fontId="2" fillId="0" borderId="1" xfId="0" applyNumberFormat="1" applyFont="1" applyBorder="1"/>
    <xf numFmtId="165" fontId="3" fillId="3" borderId="1" xfId="0" applyNumberFormat="1" applyFont="1" applyFill="1" applyBorder="1" applyAlignment="1">
      <alignment vertical="center" wrapText="1"/>
    </xf>
    <xf numFmtId="165" fontId="2" fillId="0" borderId="1" xfId="0" applyNumberFormat="1" applyFont="1" applyBorder="1"/>
    <xf numFmtId="0" fontId="15" fillId="18" borderId="0" xfId="0" applyFont="1" applyFill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vertical="center" wrapText="1"/>
    </xf>
    <xf numFmtId="165" fontId="3" fillId="3" borderId="10" xfId="0" applyNumberFormat="1" applyFont="1" applyFill="1" applyBorder="1" applyAlignment="1">
      <alignment vertical="center" wrapText="1"/>
    </xf>
    <xf numFmtId="164" fontId="3" fillId="3" borderId="10" xfId="0" applyNumberFormat="1" applyFont="1" applyFill="1" applyBorder="1" applyAlignment="1">
      <alignment vertical="center" wrapText="1"/>
    </xf>
    <xf numFmtId="165" fontId="3" fillId="16" borderId="10" xfId="0" applyNumberFormat="1" applyFont="1" applyFill="1" applyBorder="1" applyAlignment="1">
      <alignment vertical="center" wrapText="1"/>
    </xf>
    <xf numFmtId="167" fontId="3" fillId="3" borderId="10" xfId="0" applyNumberFormat="1" applyFont="1" applyFill="1" applyBorder="1" applyAlignment="1">
      <alignment vertical="center" wrapText="1"/>
    </xf>
    <xf numFmtId="165" fontId="26" fillId="0" borderId="0" xfId="0" applyNumberFormat="1" applyFont="1"/>
    <xf numFmtId="165" fontId="2" fillId="0" borderId="0" xfId="0" applyNumberFormat="1" applyFont="1"/>
    <xf numFmtId="0" fontId="4" fillId="4" borderId="5" xfId="0" applyFont="1" applyFill="1" applyBorder="1" applyAlignment="1">
      <alignment horizontal="center" vertical="center" wrapText="1"/>
    </xf>
    <xf numFmtId="167" fontId="4" fillId="4" borderId="5" xfId="0" applyNumberFormat="1" applyFont="1" applyFill="1" applyBorder="1" applyAlignment="1">
      <alignment horizontal="center" vertical="center" wrapText="1"/>
    </xf>
    <xf numFmtId="164" fontId="4" fillId="4" borderId="5" xfId="0" applyNumberFormat="1" applyFont="1" applyFill="1" applyBorder="1" applyAlignment="1">
      <alignment horizontal="center" vertical="center" wrapText="1"/>
    </xf>
    <xf numFmtId="165" fontId="27" fillId="23" borderId="11" xfId="0" applyNumberFormat="1" applyFont="1" applyFill="1" applyBorder="1" applyAlignment="1">
      <alignment horizontal="center" vertical="center" wrapText="1"/>
    </xf>
    <xf numFmtId="171" fontId="4" fillId="4" borderId="5" xfId="0" applyNumberFormat="1" applyFont="1" applyFill="1" applyBorder="1" applyAlignment="1">
      <alignment horizontal="center" vertical="center" wrapText="1"/>
    </xf>
    <xf numFmtId="170" fontId="3" fillId="3" borderId="10" xfId="0" applyNumberFormat="1" applyFont="1" applyFill="1" applyBorder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29" fillId="0" borderId="0" xfId="0" applyFont="1"/>
    <xf numFmtId="0" fontId="28" fillId="0" borderId="0" xfId="0" applyFont="1" applyAlignment="1">
      <alignment horizontal="left" vertical="center"/>
    </xf>
    <xf numFmtId="0" fontId="30" fillId="4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vertical="center" wrapText="1"/>
    </xf>
    <xf numFmtId="165" fontId="32" fillId="3" borderId="1" xfId="0" applyNumberFormat="1" applyFont="1" applyFill="1" applyBorder="1" applyAlignment="1">
      <alignment vertical="center" wrapText="1"/>
    </xf>
    <xf numFmtId="0" fontId="32" fillId="3" borderId="1" xfId="0" applyFont="1" applyFill="1" applyBorder="1" applyAlignment="1">
      <alignment vertical="center" wrapText="1"/>
    </xf>
    <xf numFmtId="167" fontId="32" fillId="3" borderId="1" xfId="0" applyNumberFormat="1" applyFont="1" applyFill="1" applyBorder="1" applyAlignment="1">
      <alignment vertical="center" wrapText="1"/>
    </xf>
    <xf numFmtId="166" fontId="32" fillId="3" borderId="1" xfId="0" applyNumberFormat="1" applyFont="1" applyFill="1" applyBorder="1" applyAlignment="1">
      <alignment vertical="center" wrapText="1"/>
    </xf>
    <xf numFmtId="0" fontId="32" fillId="0" borderId="0" xfId="0" applyFont="1"/>
    <xf numFmtId="0" fontId="28" fillId="3" borderId="0" xfId="0" applyFont="1" applyFill="1" applyAlignment="1">
      <alignment horizontal="left" vertical="center"/>
    </xf>
    <xf numFmtId="0" fontId="29" fillId="0" borderId="1" xfId="0" applyFont="1" applyBorder="1"/>
    <xf numFmtId="0" fontId="34" fillId="25" borderId="1" xfId="0" applyFont="1" applyFill="1" applyBorder="1" applyAlignment="1">
      <alignment vertical="center" wrapText="1"/>
    </xf>
    <xf numFmtId="165" fontId="35" fillId="25" borderId="1" xfId="0" applyNumberFormat="1" applyFont="1" applyFill="1" applyBorder="1" applyAlignment="1">
      <alignment vertical="center" wrapText="1"/>
    </xf>
    <xf numFmtId="0" fontId="36" fillId="0" borderId="1" xfId="0" applyFont="1" applyBorder="1"/>
    <xf numFmtId="165" fontId="37" fillId="25" borderId="1" xfId="0" applyNumberFormat="1" applyFont="1" applyFill="1" applyBorder="1" applyAlignment="1">
      <alignment vertical="center" wrapText="1"/>
    </xf>
    <xf numFmtId="165" fontId="31" fillId="3" borderId="1" xfId="0" applyNumberFormat="1" applyFont="1" applyFill="1" applyBorder="1" applyAlignment="1">
      <alignment vertical="center" wrapText="1"/>
    </xf>
    <xf numFmtId="165" fontId="34" fillId="25" borderId="1" xfId="0" applyNumberFormat="1" applyFont="1" applyFill="1" applyBorder="1" applyAlignment="1">
      <alignment vertical="center" wrapText="1"/>
    </xf>
    <xf numFmtId="0" fontId="30" fillId="3" borderId="1" xfId="0" applyFont="1" applyFill="1" applyBorder="1" applyAlignment="1">
      <alignment vertical="center" wrapText="1"/>
    </xf>
    <xf numFmtId="165" fontId="37" fillId="3" borderId="1" xfId="0" applyNumberFormat="1" applyFont="1" applyFill="1" applyBorder="1" applyAlignment="1">
      <alignment vertical="center" wrapText="1"/>
    </xf>
    <xf numFmtId="0" fontId="37" fillId="3" borderId="1" xfId="0" applyFont="1" applyFill="1" applyBorder="1" applyAlignment="1">
      <alignment vertical="center" wrapText="1"/>
    </xf>
    <xf numFmtId="0" fontId="37" fillId="0" borderId="1" xfId="0" applyFont="1" applyBorder="1" applyAlignment="1">
      <alignment vertical="center" wrapText="1"/>
    </xf>
    <xf numFmtId="0" fontId="36" fillId="0" borderId="1" xfId="0" applyFont="1" applyBorder="1" applyAlignment="1">
      <alignment vertical="center" wrapText="1"/>
    </xf>
    <xf numFmtId="167" fontId="37" fillId="3" borderId="1" xfId="0" applyNumberFormat="1" applyFont="1" applyFill="1" applyBorder="1" applyAlignment="1">
      <alignment vertical="center" wrapText="1"/>
    </xf>
    <xf numFmtId="0" fontId="32" fillId="16" borderId="1" xfId="0" applyFont="1" applyFill="1" applyBorder="1" applyAlignment="1">
      <alignment vertical="center" wrapText="1"/>
    </xf>
    <xf numFmtId="0" fontId="32" fillId="0" borderId="1" xfId="0" applyFont="1" applyBorder="1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2" fillId="0" borderId="1" xfId="0" applyFont="1" applyBorder="1"/>
    <xf numFmtId="169" fontId="32" fillId="3" borderId="1" xfId="0" applyNumberFormat="1" applyFont="1" applyFill="1" applyBorder="1" applyAlignment="1">
      <alignment vertical="center" wrapText="1"/>
    </xf>
    <xf numFmtId="164" fontId="32" fillId="3" borderId="1" xfId="0" applyNumberFormat="1" applyFont="1" applyFill="1" applyBorder="1" applyAlignment="1">
      <alignment vertical="center" wrapText="1"/>
    </xf>
    <xf numFmtId="170" fontId="32" fillId="3" borderId="1" xfId="0" applyNumberFormat="1" applyFont="1" applyFill="1" applyBorder="1" applyAlignment="1">
      <alignment vertical="center" wrapText="1"/>
    </xf>
    <xf numFmtId="165" fontId="3" fillId="27" borderId="5" xfId="0" applyNumberFormat="1" applyFont="1" applyFill="1" applyBorder="1" applyAlignment="1">
      <alignment vertical="center" wrapText="1"/>
    </xf>
    <xf numFmtId="0" fontId="3" fillId="27" borderId="5" xfId="0" applyFont="1" applyFill="1" applyBorder="1" applyAlignment="1">
      <alignment vertical="center" wrapText="1"/>
    </xf>
    <xf numFmtId="167" fontId="3" fillId="27" borderId="5" xfId="0" applyNumberFormat="1" applyFont="1" applyFill="1" applyBorder="1" applyAlignment="1">
      <alignment vertical="center" wrapText="1"/>
    </xf>
    <xf numFmtId="164" fontId="3" fillId="3" borderId="5" xfId="0" applyNumberFormat="1" applyFont="1" applyFill="1" applyBorder="1" applyAlignment="1">
      <alignment vertical="center" wrapText="1"/>
    </xf>
    <xf numFmtId="165" fontId="3" fillId="3" borderId="5" xfId="0" applyNumberFormat="1" applyFont="1" applyFill="1" applyBorder="1" applyAlignment="1">
      <alignment vertical="center" wrapText="1"/>
    </xf>
    <xf numFmtId="167" fontId="3" fillId="3" borderId="5" xfId="0" applyNumberFormat="1" applyFont="1" applyFill="1" applyBorder="1" applyAlignment="1">
      <alignment vertical="center" wrapText="1"/>
    </xf>
    <xf numFmtId="165" fontId="3" fillId="10" borderId="5" xfId="0" applyNumberFormat="1" applyFont="1" applyFill="1" applyBorder="1" applyAlignment="1">
      <alignment vertical="center" wrapText="1"/>
    </xf>
    <xf numFmtId="0" fontId="3" fillId="10" borderId="5" xfId="0" applyFont="1" applyFill="1" applyBorder="1" applyAlignment="1">
      <alignment vertical="center" wrapText="1"/>
    </xf>
    <xf numFmtId="167" fontId="3" fillId="10" borderId="5" xfId="0" applyNumberFormat="1" applyFont="1" applyFill="1" applyBorder="1" applyAlignment="1">
      <alignment vertical="center" wrapText="1"/>
    </xf>
    <xf numFmtId="167" fontId="3" fillId="16" borderId="5" xfId="0" applyNumberFormat="1" applyFont="1" applyFill="1" applyBorder="1" applyAlignment="1">
      <alignment vertical="center" wrapText="1"/>
    </xf>
    <xf numFmtId="0" fontId="15" fillId="3" borderId="0" xfId="0" applyFont="1" applyFill="1" applyAlignment="1">
      <alignment horizontal="left" vertical="center"/>
    </xf>
    <xf numFmtId="165" fontId="3" fillId="3" borderId="9" xfId="0" applyNumberFormat="1" applyFont="1" applyFill="1" applyBorder="1" applyAlignment="1">
      <alignment vertical="center" wrapText="1"/>
    </xf>
    <xf numFmtId="165" fontId="39" fillId="7" borderId="6" xfId="0" applyNumberFormat="1" applyFont="1" applyFill="1" applyBorder="1" applyAlignment="1">
      <alignment vertical="center" wrapText="1"/>
    </xf>
    <xf numFmtId="165" fontId="4" fillId="7" borderId="6" xfId="0" applyNumberFormat="1" applyFont="1" applyFill="1" applyBorder="1" applyAlignment="1">
      <alignment vertical="center" wrapText="1"/>
    </xf>
    <xf numFmtId="167" fontId="4" fillId="7" borderId="6" xfId="0" applyNumberFormat="1" applyFont="1" applyFill="1" applyBorder="1" applyAlignment="1">
      <alignment vertical="center" wrapText="1"/>
    </xf>
    <xf numFmtId="0" fontId="41" fillId="28" borderId="13" xfId="0" applyFont="1" applyFill="1" applyBorder="1"/>
    <xf numFmtId="164" fontId="5" fillId="3" borderId="5" xfId="0" applyNumberFormat="1" applyFont="1" applyFill="1" applyBorder="1" applyAlignment="1">
      <alignment vertical="center" wrapText="1"/>
    </xf>
    <xf numFmtId="165" fontId="5" fillId="3" borderId="5" xfId="0" applyNumberFormat="1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170" fontId="5" fillId="3" borderId="5" xfId="0" applyNumberFormat="1" applyFont="1" applyFill="1" applyBorder="1" applyAlignment="1">
      <alignment vertical="center" wrapText="1"/>
    </xf>
    <xf numFmtId="169" fontId="5" fillId="3" borderId="5" xfId="0" applyNumberFormat="1" applyFont="1" applyFill="1" applyBorder="1" applyAlignment="1">
      <alignment vertical="center" wrapText="1"/>
    </xf>
    <xf numFmtId="0" fontId="27" fillId="23" borderId="11" xfId="0" applyFont="1" applyFill="1" applyBorder="1" applyAlignment="1">
      <alignment horizontal="center" vertical="center" wrapText="1"/>
    </xf>
    <xf numFmtId="165" fontId="4" fillId="4" borderId="5" xfId="0" applyNumberFormat="1" applyFont="1" applyFill="1" applyBorder="1" applyAlignment="1">
      <alignment horizontal="center" vertical="center" wrapText="1"/>
    </xf>
    <xf numFmtId="9" fontId="29" fillId="0" borderId="0" xfId="0" applyNumberFormat="1" applyFont="1"/>
    <xf numFmtId="0" fontId="39" fillId="23" borderId="11" xfId="0" applyFont="1" applyFill="1" applyBorder="1" applyAlignment="1">
      <alignment horizontal="center" vertical="center" wrapText="1"/>
    </xf>
    <xf numFmtId="168" fontId="5" fillId="3" borderId="5" xfId="0" applyNumberFormat="1" applyFont="1" applyFill="1" applyBorder="1" applyAlignment="1">
      <alignment vertical="center" wrapText="1"/>
    </xf>
    <xf numFmtId="172" fontId="5" fillId="3" borderId="5" xfId="0" applyNumberFormat="1" applyFont="1" applyFill="1" applyBorder="1" applyAlignment="1">
      <alignment vertical="center" wrapText="1"/>
    </xf>
    <xf numFmtId="173" fontId="5" fillId="3" borderId="5" xfId="0" applyNumberFormat="1" applyFont="1" applyFill="1" applyBorder="1" applyAlignment="1">
      <alignment vertical="center" wrapText="1"/>
    </xf>
    <xf numFmtId="174" fontId="2" fillId="0" borderId="0" xfId="0" applyNumberFormat="1" applyFont="1"/>
    <xf numFmtId="174" fontId="5" fillId="3" borderId="5" xfId="0" applyNumberFormat="1" applyFont="1" applyFill="1" applyBorder="1" applyAlignment="1">
      <alignment vertical="center" wrapText="1"/>
    </xf>
    <xf numFmtId="0" fontId="10" fillId="2" borderId="0" xfId="0" applyFont="1" applyFill="1" applyAlignment="1">
      <alignment horizontal="center" vertical="center"/>
    </xf>
    <xf numFmtId="0" fontId="38" fillId="26" borderId="12" xfId="0" applyFont="1" applyFill="1" applyBorder="1" applyAlignment="1">
      <alignment horizontal="center"/>
    </xf>
    <xf numFmtId="0" fontId="15" fillId="18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4" fillId="7" borderId="6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/>
    <xf numFmtId="0" fontId="4" fillId="7" borderId="1" xfId="0" applyFont="1" applyFill="1" applyBorder="1" applyAlignment="1">
      <alignment horizontal="center" vertical="center"/>
    </xf>
    <xf numFmtId="4" fontId="10" fillId="2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wrapText="1"/>
    </xf>
    <xf numFmtId="0" fontId="2" fillId="0" borderId="0" xfId="0" applyFont="1"/>
    <xf numFmtId="0" fontId="16" fillId="2" borderId="0" xfId="0" applyFont="1" applyFill="1" applyAlignment="1">
      <alignment horizontal="left" vertical="center"/>
    </xf>
    <xf numFmtId="0" fontId="18" fillId="3" borderId="0" xfId="0" applyFont="1" applyFill="1" applyAlignment="1">
      <alignment horizontal="left" vertical="center" wrapText="1"/>
    </xf>
    <xf numFmtId="0" fontId="16" fillId="18" borderId="0" xfId="0" applyFont="1" applyFill="1" applyAlignment="1">
      <alignment horizontal="left" vertical="center"/>
    </xf>
    <xf numFmtId="0" fontId="19" fillId="7" borderId="6" xfId="0" applyFont="1" applyFill="1" applyBorder="1" applyAlignment="1">
      <alignment vertical="center"/>
    </xf>
    <xf numFmtId="0" fontId="20" fillId="3" borderId="5" xfId="0" applyFont="1" applyFill="1" applyBorder="1" applyAlignment="1">
      <alignment vertical="center" wrapText="1"/>
    </xf>
    <xf numFmtId="0" fontId="19" fillId="7" borderId="6" xfId="0" applyFont="1" applyFill="1" applyBorder="1" applyAlignment="1">
      <alignment vertical="center" wrapText="1"/>
    </xf>
    <xf numFmtId="0" fontId="10" fillId="20" borderId="0" xfId="0" applyFont="1" applyFill="1" applyAlignment="1">
      <alignment horizontal="center" vertical="center"/>
    </xf>
    <xf numFmtId="0" fontId="25" fillId="3" borderId="0" xfId="0" applyFont="1" applyFill="1" applyAlignment="1">
      <alignment horizontal="left" vertical="center" wrapText="1"/>
    </xf>
    <xf numFmtId="0" fontId="15" fillId="18" borderId="1" xfId="0" applyFont="1" applyFill="1" applyBorder="1" applyAlignment="1">
      <alignment horizontal="center" vertical="center"/>
    </xf>
    <xf numFmtId="0" fontId="15" fillId="18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8" fillId="18" borderId="1" xfId="0" applyFont="1" applyFill="1" applyBorder="1" applyAlignment="1">
      <alignment horizontal="left" vertical="center"/>
    </xf>
    <xf numFmtId="0" fontId="30" fillId="4" borderId="1" xfId="0" applyFont="1" applyFill="1" applyBorder="1" applyAlignment="1">
      <alignment horizontal="center" vertical="center" wrapText="1"/>
    </xf>
    <xf numFmtId="0" fontId="32" fillId="3" borderId="1" xfId="0" applyFont="1" applyFill="1" applyBorder="1" applyAlignment="1">
      <alignment vertical="center" wrapText="1"/>
    </xf>
    <xf numFmtId="0" fontId="32" fillId="0" borderId="0" xfId="0" applyFont="1"/>
    <xf numFmtId="0" fontId="33" fillId="24" borderId="1" xfId="0" applyFont="1" applyFill="1" applyBorder="1" applyAlignment="1">
      <alignment horizontal="left" vertical="center"/>
    </xf>
    <xf numFmtId="0" fontId="33" fillId="24" borderId="3" xfId="0" applyFont="1" applyFill="1" applyBorder="1" applyAlignment="1">
      <alignment horizontal="left" vertical="center"/>
    </xf>
    <xf numFmtId="0" fontId="40" fillId="23" borderId="0" xfId="0" applyFont="1" applyFill="1" applyAlignment="1">
      <alignment horizontal="center" vertical="center" wrapText="1"/>
    </xf>
    <xf numFmtId="0" fontId="44" fillId="29" borderId="5" xfId="0" applyFont="1" applyFill="1" applyBorder="1" applyAlignment="1">
      <alignment vertical="center" wrapText="1"/>
    </xf>
    <xf numFmtId="0" fontId="45" fillId="10" borderId="14" xfId="0" applyFont="1" applyFill="1" applyBorder="1" applyAlignment="1">
      <alignment vertical="center" wrapText="1"/>
    </xf>
    <xf numFmtId="0" fontId="42" fillId="11" borderId="5" xfId="0" applyFont="1" applyFill="1" applyBorder="1" applyAlignment="1">
      <alignment vertical="center" wrapText="1"/>
    </xf>
    <xf numFmtId="0" fontId="43" fillId="10" borderId="5" xfId="0" applyFont="1" applyFill="1" applyBorder="1" applyAlignment="1">
      <alignment vertical="center" wrapText="1"/>
    </xf>
  </cellXfs>
  <cellStyles count="1">
    <cellStyle name="Normal" xfId="0" builtinId="0"/>
  </cellStyles>
  <dxfs count="19">
    <dxf>
      <font>
        <b/>
        <color rgb="FFC00000"/>
      </font>
      <fill>
        <patternFill>
          <bgColor rgb="FFFDE9E7"/>
        </patternFill>
      </fill>
    </dxf>
    <dxf>
      <font>
        <b/>
        <color rgb="FF2E7D32"/>
      </font>
      <fill>
        <patternFill>
          <bgColor rgb="FFE8F5E9"/>
        </patternFill>
      </fill>
    </dxf>
    <dxf>
      <font>
        <b/>
        <color rgb="FFC00000"/>
      </font>
      <fill>
        <patternFill>
          <bgColor rgb="FFFDE9E7"/>
        </patternFill>
      </fill>
    </dxf>
    <dxf>
      <font>
        <b/>
        <color rgb="FF2E7D32"/>
      </font>
      <fill>
        <patternFill>
          <bgColor rgb="FFE8F5E9"/>
        </patternFill>
      </fill>
    </dxf>
    <dxf>
      <font>
        <color rgb="FFC00000"/>
      </font>
      <fill>
        <patternFill>
          <bgColor rgb="FFFDE9E7"/>
        </patternFill>
      </fill>
    </dxf>
    <dxf>
      <font>
        <b/>
        <color rgb="FFFF0000"/>
      </font>
      <fill>
        <patternFill>
          <bgColor rgb="FFF4CCCC"/>
        </patternFill>
      </fill>
    </dxf>
    <dxf>
      <font>
        <b/>
        <color rgb="FF548235"/>
      </font>
      <fill>
        <patternFill>
          <bgColor rgb="FFE2F0D9"/>
        </patternFill>
      </fill>
    </dxf>
    <dxf>
      <font>
        <color rgb="FFC00000"/>
      </font>
      <fill>
        <patternFill>
          <bgColor rgb="FFFDE9E7"/>
        </patternFill>
      </fill>
    </dxf>
    <dxf>
      <font>
        <b/>
        <color rgb="FF008000"/>
      </font>
      <fill>
        <patternFill>
          <bgColor rgb="FFE2F0D9"/>
        </patternFill>
      </fill>
    </dxf>
    <dxf>
      <font>
        <b/>
        <color rgb="FFFF0000"/>
      </font>
      <fill>
        <patternFill>
          <bgColor rgb="FFF4CCCC"/>
        </patternFill>
      </fill>
    </dxf>
    <dxf>
      <font>
        <b/>
        <color rgb="FF008000"/>
      </font>
      <fill>
        <patternFill>
          <bgColor rgb="FFE2F0D9"/>
        </patternFill>
      </fill>
    </dxf>
    <dxf>
      <font>
        <b/>
        <color rgb="FFFF0000"/>
      </font>
      <fill>
        <patternFill>
          <bgColor rgb="FFF4CCCC"/>
        </patternFill>
      </fill>
    </dxf>
    <dxf>
      <font>
        <color rgb="FFC00000"/>
      </font>
      <fill>
        <patternFill>
          <bgColor rgb="FFFDE9E7"/>
        </patternFill>
      </fill>
    </dxf>
    <dxf>
      <font>
        <b/>
        <color rgb="FF008000"/>
      </font>
      <fill>
        <patternFill>
          <bgColor rgb="FFE2F0D9"/>
        </patternFill>
      </fill>
    </dxf>
    <dxf>
      <font>
        <b/>
        <color rgb="FFFF0000"/>
      </font>
      <fill>
        <patternFill>
          <bgColor rgb="FFF4CCCC"/>
        </patternFill>
      </fill>
    </dxf>
    <dxf>
      <font>
        <color rgb="FFC00000"/>
      </font>
      <fill>
        <patternFill>
          <bgColor rgb="FFFDE9E7"/>
        </patternFill>
      </fill>
    </dxf>
    <dxf>
      <font>
        <b/>
        <color rgb="FF008000"/>
      </font>
      <fill>
        <patternFill>
          <bgColor rgb="FFE2F0D9"/>
        </patternFill>
      </fill>
    </dxf>
    <dxf>
      <font>
        <b/>
        <color rgb="FFFF0000"/>
      </font>
      <fill>
        <patternFill>
          <bgColor rgb="FFF4CCCC"/>
        </patternFill>
      </fill>
    </dxf>
    <dxf>
      <fill>
        <patternFill>
          <bgColor rgb="FFB7E1C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EEF5FB"/>
      <rgbColor rgb="FFE5E7EB"/>
      <rgbColor rgb="FFC00000"/>
      <rgbColor rgb="FF008000"/>
      <rgbColor rgb="FF1F4E78"/>
      <rgbColor rgb="FF9C6500"/>
      <rgbColor rgb="FFF7FBFF"/>
      <rgbColor rgb="FF156082"/>
      <rgbColor rgb="FFBFBFBF"/>
      <rgbColor rgb="FF757575"/>
      <rgbColor rgb="FFB7E1CD"/>
      <rgbColor rgb="FF548235"/>
      <rgbColor rgb="FFFFF2CC"/>
      <rgbColor rgb="FFD9EAF7"/>
      <rgbColor rgb="FF660066"/>
      <rgbColor rgb="FFD6B656"/>
      <rgbColor rgb="FF0B5394"/>
      <rgbColor rgb="FFBDD7EE"/>
      <rgbColor rgb="FF006100"/>
      <rgbColor rgb="FFF9F9F9"/>
      <rgbColor rgb="FFFFD966"/>
      <rgbColor rgb="FFE8F5E9"/>
      <rgbColor rgb="FF800080"/>
      <rgbColor rgb="FF800000"/>
      <rgbColor rgb="FF196B24"/>
      <rgbColor rgb="FF0000FF"/>
      <rgbColor rgb="FFD9E1F2"/>
      <rgbColor rgb="FFDDEBF7"/>
      <rgbColor rgb="FFE2F0D9"/>
      <rgbColor rgb="FFFFE599"/>
      <rgbColor rgb="FFAFC7DA"/>
      <rgbColor rgb="FFFCE4D6"/>
      <rgbColor rgb="FFD9D9D9"/>
      <rgbColor rgb="FFF4CCCC"/>
      <rgbColor rgb="FF3D85C6"/>
      <rgbColor rgb="FFC1E5F5"/>
      <rgbColor rgb="FF93C47D"/>
      <rgbColor rgb="FFF1C232"/>
      <rgbColor rgb="FFFF9900"/>
      <rgbColor rgb="FFE97132"/>
      <rgbColor rgb="FF666666"/>
      <rgbColor rgb="FFB7B7B7"/>
      <rgbColor rgb="FF0B3B70"/>
      <rgbColor rgb="FF2E7D32"/>
      <rgbColor rgb="FF1A1A1A"/>
      <rgbColor rgb="FF274E13"/>
      <rgbColor rgb="FFF2F2F2"/>
      <rgbColor rgb="FFFDE9E7"/>
      <rgbColor rgb="FF1C4587"/>
      <rgbColor rgb="FF24406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0" strike="noStrike" spc="-1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lang="en-US" sz="1800" b="0" strike="noStrike" spc="-1">
                <a:solidFill>
                  <a:srgbClr val="757575"/>
                </a:solidFill>
                <a:latin typeface="Calibri"/>
                <a:ea typeface="Calibri"/>
              </a:rPr>
              <a:t>Doanh thu và Tổng chi phí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8165156507414"/>
          <c:y val="0.49396499698249902"/>
          <c:w val="0.86609349258649104"/>
          <c:h val="0.39665057332528703"/>
        </c:manualLayout>
      </c:layout>
      <c:barChart>
        <c:barDir val="col"/>
        <c:grouping val="clustered"/>
        <c:varyColors val="0"/>
        <c:ser>
          <c:idx val="0"/>
          <c:order val="0"/>
          <c:tx>
            <c:v>Doanh thu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'DIA_Tóm Tắt'!$A$30:$A$32</c:f>
              <c:strCache>
                <c:ptCount val="3"/>
                <c:pt idx="0">
                  <c:v>Năm 1</c:v>
                </c:pt>
                <c:pt idx="1">
                  <c:v>Năm 2</c:v>
                </c:pt>
                <c:pt idx="2">
                  <c:v>Năm 3</c:v>
                </c:pt>
              </c:strCache>
            </c:strRef>
          </c:cat>
          <c:val>
            <c:numRef>
              <c:f>'DIA_Tóm Tắt'!$B$30:$B$32</c:f>
              <c:numCache>
                <c:formatCode>#,##0" ₫";[Red]\(#,##0" ₫)";\-</c:formatCode>
                <c:ptCount val="3"/>
                <c:pt idx="0">
                  <c:v>2201140000</c:v>
                </c:pt>
                <c:pt idx="1">
                  <c:v>6923047728.000001</c:v>
                </c:pt>
                <c:pt idx="2">
                  <c:v>9069186030.7696018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23-4BEC-A938-46FB32DC42BB}"/>
            </c:ext>
          </c:extLst>
        </c:ser>
        <c:ser>
          <c:idx val="1"/>
          <c:order val="1"/>
          <c:tx>
            <c:v>Tổng chi phí</c:v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'DIA_Tóm Tắt'!$A$30:$A$32</c:f>
              <c:strCache>
                <c:ptCount val="3"/>
                <c:pt idx="0">
                  <c:v>Năm 1</c:v>
                </c:pt>
                <c:pt idx="1">
                  <c:v>Năm 2</c:v>
                </c:pt>
                <c:pt idx="2">
                  <c:v>Năm 3</c:v>
                </c:pt>
              </c:strCache>
            </c:strRef>
          </c:cat>
          <c:val>
            <c:numRef>
              <c:f>'DIA_Tóm Tắt'!$C$30:$C$32</c:f>
              <c:numCache>
                <c:formatCode>#,##0" ₫";[Red]\(#,##0" ₫)";\-</c:formatCode>
                <c:ptCount val="3"/>
                <c:pt idx="0">
                  <c:v>2616013100</c:v>
                </c:pt>
                <c:pt idx="1">
                  <c:v>5618244726.5699997</c:v>
                </c:pt>
                <c:pt idx="2">
                  <c:v>5630768756.138464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23-4BEC-A938-46FB32DC4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101522"/>
        <c:axId val="99408132"/>
      </c:barChart>
      <c:catAx>
        <c:axId val="191015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99408132"/>
        <c:crosses val="autoZero"/>
        <c:auto val="1"/>
        <c:lblAlgn val="ctr"/>
        <c:lblOffset val="100"/>
        <c:noMultiLvlLbl val="0"/>
      </c:catAx>
      <c:valAx>
        <c:axId val="99408132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910152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1A1A1A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vi-VN" sz="1800" b="0" strike="noStrike" spc="-1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lang="vi-VN" sz="1800" b="0" strike="noStrike" spc="-1">
                <a:solidFill>
                  <a:srgbClr val="757575"/>
                </a:solidFill>
                <a:latin typeface="Calibri"/>
                <a:ea typeface="Calibri"/>
              </a:rPr>
              <a:t>Cơ cấu doanh thu Năm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1586-419B-815D-055E30625BCC}"/>
              </c:ext>
            </c:extLst>
          </c:dPt>
          <c:dPt>
            <c:idx val="1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586-419B-815D-055E30625BCC}"/>
              </c:ext>
            </c:extLst>
          </c:dPt>
          <c:dPt>
            <c:idx val="2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586-419B-815D-055E30625BC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586-419B-815D-055E30625BC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586-419B-815D-055E30625BCC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586-419B-815D-055E30625B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'DIA_Tóm Tắt'!$A$36:$A$38</c:f>
              <c:strCache>
                <c:ptCount val="3"/>
                <c:pt idx="0">
                  <c:v>B2C</c:v>
                </c:pt>
                <c:pt idx="1">
                  <c:v>B2B</c:v>
                </c:pt>
                <c:pt idx="2">
                  <c:v>Triển khai &amp; dịch vụ</c:v>
                </c:pt>
              </c:strCache>
            </c:strRef>
          </c:cat>
          <c:val>
            <c:numRef>
              <c:f>'DIA_Tóm Tắt'!$B$36:$B$38</c:f>
              <c:numCache>
                <c:formatCode>#,##0" ₫";[Red]\(#,##0" ₫)";\-</c:formatCode>
                <c:ptCount val="3"/>
                <c:pt idx="0">
                  <c:v>2250333434.4624004</c:v>
                </c:pt>
                <c:pt idx="1">
                  <c:v>6306352596.3072014</c:v>
                </c:pt>
                <c:pt idx="2">
                  <c:v>362500000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86-419B-815D-055E30625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1A1A1A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vi-VN" sz="1800" b="0" strike="noStrike" spc="-1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lang="vi-VN" sz="1800" b="0" strike="noStrike" spc="-1">
                <a:solidFill>
                  <a:srgbClr val="757575"/>
                </a:solidFill>
                <a:latin typeface="Calibri"/>
                <a:ea typeface="Calibri"/>
              </a:rPr>
              <a:t>Tăng trưởng người dùng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Tổng người dùng</c:v>
          </c:tx>
          <c:spPr>
            <a:ln w="1908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'DIA_Tóm Tắt'!$A$42:$A$44</c:f>
              <c:strCache>
                <c:ptCount val="3"/>
                <c:pt idx="0">
                  <c:v>Năm 1</c:v>
                </c:pt>
                <c:pt idx="1">
                  <c:v>Năm 2</c:v>
                </c:pt>
                <c:pt idx="2">
                  <c:v>Năm 3</c:v>
                </c:pt>
              </c:strCache>
            </c:strRef>
          </c:cat>
          <c:val>
            <c:numRef>
              <c:f>'DIA_Tóm Tắt'!$B$42:$B$44</c:f>
              <c:numCache>
                <c:formatCode>#,##0;[Red]\(#,##0\);\-</c:formatCode>
                <c:ptCount val="3"/>
                <c:pt idx="0">
                  <c:v>70000</c:v>
                </c:pt>
                <c:pt idx="1">
                  <c:v>190000</c:v>
                </c:pt>
                <c:pt idx="2">
                  <c:v>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F4-40B8-A43C-F9B10CBD4533}"/>
            </c:ext>
          </c:extLst>
        </c:ser>
        <c:ser>
          <c:idx val="1"/>
          <c:order val="1"/>
          <c:tx>
            <c:v>Premium</c:v>
          </c:tx>
          <c:spPr>
            <a:ln w="1908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'DIA_Tóm Tắt'!$A$42:$A$44</c:f>
              <c:strCache>
                <c:ptCount val="3"/>
                <c:pt idx="0">
                  <c:v>Năm 1</c:v>
                </c:pt>
                <c:pt idx="1">
                  <c:v>Năm 2</c:v>
                </c:pt>
                <c:pt idx="2">
                  <c:v>Năm 3</c:v>
                </c:pt>
              </c:strCache>
            </c:strRef>
          </c:cat>
          <c:val>
            <c:numRef>
              <c:f>'DIA_Tóm Tắt'!$C$42:$C$44</c:f>
              <c:numCache>
                <c:formatCode>#,##0;[Red]\(#,##0\);\-</c:formatCode>
                <c:ptCount val="3"/>
                <c:pt idx="0">
                  <c:v>2800</c:v>
                </c:pt>
                <c:pt idx="1">
                  <c:v>9500</c:v>
                </c:pt>
                <c:pt idx="2">
                  <c:v>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F4-40B8-A43C-F9B10CBD4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1519385"/>
        <c:axId val="43176965"/>
      </c:lineChart>
      <c:catAx>
        <c:axId val="515193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43176965"/>
        <c:crosses val="autoZero"/>
        <c:auto val="1"/>
        <c:lblAlgn val="ctr"/>
        <c:lblOffset val="100"/>
        <c:noMultiLvlLbl val="0"/>
      </c:catAx>
      <c:valAx>
        <c:axId val="43176965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515193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1A1A1A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800" b="0" strike="noStrike" spc="-1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lang="en-US" sz="1800" b="0" strike="noStrike" spc="-1">
                <a:solidFill>
                  <a:srgbClr val="757575"/>
                </a:solidFill>
                <a:latin typeface="Calibri"/>
                <a:ea typeface="Calibri"/>
              </a:rPr>
              <a:t>Dòng tiền ròng và lũy kế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Dòng tiền ròng</c:v>
          </c:tx>
          <c:spPr>
            <a:ln w="1908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'DIA_Tóm Tắt'!$A$48:$A$50</c:f>
              <c:strCache>
                <c:ptCount val="3"/>
                <c:pt idx="0">
                  <c:v>Năm 1</c:v>
                </c:pt>
                <c:pt idx="1">
                  <c:v>Năm 2</c:v>
                </c:pt>
                <c:pt idx="2">
                  <c:v>Năm 3</c:v>
                </c:pt>
              </c:strCache>
            </c:strRef>
          </c:cat>
          <c:val>
            <c:numRef>
              <c:f>'DIA_Tóm Tắt'!$B$48:$B$50</c:f>
              <c:numCache>
                <c:formatCode>#,##0" ₫";[Red]\(#,##0" ₫)";\-</c:formatCode>
                <c:ptCount val="3"/>
                <c:pt idx="0">
                  <c:v>-414873100</c:v>
                </c:pt>
                <c:pt idx="1">
                  <c:v>851832401.14400065</c:v>
                </c:pt>
                <c:pt idx="2">
                  <c:v>2506723819.7049103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02-4DA0-8EF3-B2502545DECE}"/>
            </c:ext>
          </c:extLst>
        </c:ser>
        <c:ser>
          <c:idx val="1"/>
          <c:order val="1"/>
          <c:tx>
            <c:v>Dòng tiền lũy kế</c:v>
          </c:tx>
          <c:spPr>
            <a:ln w="19080">
              <a:solidFill>
                <a:srgbClr val="E9713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'DIA_Tóm Tắt'!$A$48:$A$50</c:f>
              <c:strCache>
                <c:ptCount val="3"/>
                <c:pt idx="0">
                  <c:v>Năm 1</c:v>
                </c:pt>
                <c:pt idx="1">
                  <c:v>Năm 2</c:v>
                </c:pt>
                <c:pt idx="2">
                  <c:v>Năm 3</c:v>
                </c:pt>
              </c:strCache>
            </c:strRef>
          </c:cat>
          <c:val>
            <c:numRef>
              <c:f>'DIA_Tóm Tắt'!$C$48:$C$50</c:f>
              <c:numCache>
                <c:formatCode>#,##0" ₫";[Red]\(#,##0" ₫)";\-</c:formatCode>
                <c:ptCount val="3"/>
                <c:pt idx="0">
                  <c:v>-414873100</c:v>
                </c:pt>
                <c:pt idx="1">
                  <c:v>436959301.14400065</c:v>
                </c:pt>
                <c:pt idx="2">
                  <c:v>2943683120.8489108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02-4DA0-8EF3-B2502545D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8201468"/>
        <c:axId val="925773"/>
      </c:lineChart>
      <c:catAx>
        <c:axId val="582014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925773"/>
        <c:crosses val="autoZero"/>
        <c:auto val="1"/>
        <c:lblAlgn val="ctr"/>
        <c:lblOffset val="100"/>
        <c:noMultiLvlLbl val="0"/>
      </c:catAx>
      <c:valAx>
        <c:axId val="925773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5820146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1A1A1A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460080</xdr:colOff>
      <xdr:row>13</xdr:row>
      <xdr:rowOff>82080</xdr:rowOff>
    </xdr:from>
    <xdr:to>
      <xdr:col>14</xdr:col>
      <xdr:colOff>26640</xdr:colOff>
      <xdr:row>20</xdr:row>
      <xdr:rowOff>29160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355320</xdr:colOff>
      <xdr:row>20</xdr:row>
      <xdr:rowOff>195480</xdr:rowOff>
    </xdr:from>
    <xdr:to>
      <xdr:col>13</xdr:col>
      <xdr:colOff>91080</xdr:colOff>
      <xdr:row>32</xdr:row>
      <xdr:rowOff>34200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368280</xdr:colOff>
      <xdr:row>32</xdr:row>
      <xdr:rowOff>213840</xdr:rowOff>
    </xdr:from>
    <xdr:to>
      <xdr:col>12</xdr:col>
      <xdr:colOff>383760</xdr:colOff>
      <xdr:row>41</xdr:row>
      <xdr:rowOff>163440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1190520</xdr:colOff>
      <xdr:row>39</xdr:row>
      <xdr:rowOff>22680</xdr:rowOff>
    </xdr:from>
    <xdr:to>
      <xdr:col>12</xdr:col>
      <xdr:colOff>381600</xdr:colOff>
      <xdr:row>48</xdr:row>
      <xdr:rowOff>74520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ebclaude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gemini.google.com/" TargetMode="External"/><Relationship Id="rId1" Type="http://schemas.openxmlformats.org/officeDocument/2006/relationships/hyperlink" Target="http://cloudflare.com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21"/>
  <sheetViews>
    <sheetView showGridLines="0" zoomScaleNormal="100" workbookViewId="0">
      <pane ySplit="3" topLeftCell="A33" activePane="bottomLeft" state="frozen"/>
      <selection pane="bottomLeft" activeCell="B5" sqref="B5"/>
    </sheetView>
  </sheetViews>
  <sheetFormatPr defaultColWidth="12.5703125" defaultRowHeight="15" x14ac:dyDescent="0.25"/>
  <cols>
    <col min="1" max="1" width="3.85546875" customWidth="1"/>
    <col min="2" max="2" width="61.5703125" customWidth="1"/>
    <col min="3" max="3" width="8.85546875" customWidth="1"/>
    <col min="4" max="5" width="20" customWidth="1"/>
    <col min="6" max="6" width="13.42578125" customWidth="1"/>
    <col min="7" max="7" width="13.140625" customWidth="1"/>
    <col min="8" max="8" width="76.7109375" customWidth="1"/>
    <col min="9" max="9" width="11.42578125" customWidth="1"/>
    <col min="10" max="12" width="8.5703125" customWidth="1"/>
    <col min="13" max="13" width="11.28515625" customWidth="1"/>
    <col min="14" max="25" width="8.5703125" customWidth="1"/>
  </cols>
  <sheetData>
    <row r="1" spans="1:25" ht="24" customHeight="1" x14ac:dyDescent="0.3">
      <c r="A1" s="207" t="s">
        <v>0</v>
      </c>
      <c r="B1" s="207"/>
      <c r="C1" s="207"/>
      <c r="D1" s="207"/>
      <c r="E1" s="207"/>
      <c r="F1" s="207"/>
      <c r="G1" s="207"/>
      <c r="H1" s="20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7.25" customHeight="1" x14ac:dyDescent="0.3">
      <c r="A2" s="3"/>
      <c r="B2" s="1"/>
      <c r="C2" s="1"/>
      <c r="D2" s="208"/>
      <c r="E2" s="208"/>
      <c r="F2" s="208"/>
      <c r="G2" s="1"/>
      <c r="H2" s="1"/>
      <c r="V2" s="1"/>
      <c r="W2" s="1"/>
      <c r="X2" s="1"/>
      <c r="Y2" s="1"/>
    </row>
    <row r="3" spans="1:25" ht="40.5" customHeight="1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5"/>
      <c r="V3" s="1"/>
      <c r="W3" s="1"/>
      <c r="X3" s="1"/>
      <c r="Y3" s="1"/>
    </row>
    <row r="4" spans="1:25" ht="17.25" customHeight="1" x14ac:dyDescent="0.3">
      <c r="A4" s="6">
        <v>1</v>
      </c>
      <c r="B4" s="7" t="s">
        <v>9</v>
      </c>
      <c r="C4" s="8">
        <f>'DIA_Giả Định'!$N$129</f>
        <v>5</v>
      </c>
      <c r="D4" s="9">
        <f>'DIA_Giả Định'!$N$130</f>
        <v>24700000</v>
      </c>
      <c r="E4" s="9">
        <f>C4*D4</f>
        <v>123500000</v>
      </c>
      <c r="F4" s="10">
        <f>'DIA_Giả Định'!$N$65</f>
        <v>4</v>
      </c>
      <c r="G4" s="11" t="s">
        <v>10</v>
      </c>
      <c r="H4" s="12" t="s">
        <v>11</v>
      </c>
      <c r="V4" s="1"/>
      <c r="W4" s="1"/>
      <c r="X4" s="1"/>
      <c r="Y4" s="1"/>
    </row>
    <row r="5" spans="1:25" ht="17.25" customHeight="1" x14ac:dyDescent="0.3">
      <c r="A5" s="6">
        <v>2</v>
      </c>
      <c r="B5" s="7" t="s">
        <v>12</v>
      </c>
      <c r="C5" s="8">
        <f>'DIA_Giả Định'!$N$131</f>
        <v>1</v>
      </c>
      <c r="D5" s="9">
        <f>'DIA_Giả Định'!$N$132</f>
        <v>16300000</v>
      </c>
      <c r="E5" s="9">
        <f>C5*D5</f>
        <v>16300000</v>
      </c>
      <c r="F5" s="10">
        <f>'DIA_Giả Định'!$N$65</f>
        <v>4</v>
      </c>
      <c r="G5" s="11" t="s">
        <v>10</v>
      </c>
      <c r="H5" s="7" t="s">
        <v>13</v>
      </c>
      <c r="V5" s="1"/>
      <c r="W5" s="1"/>
      <c r="X5" s="1"/>
      <c r="Y5" s="1"/>
    </row>
    <row r="6" spans="1:25" ht="17.25" customHeight="1" x14ac:dyDescent="0.3">
      <c r="A6" s="6">
        <v>3</v>
      </c>
      <c r="B6" s="7" t="s">
        <v>14</v>
      </c>
      <c r="C6" s="8">
        <v>1</v>
      </c>
      <c r="D6" s="9">
        <f>'DIA_Giả Định'!$N$75*12</f>
        <v>300000000</v>
      </c>
      <c r="E6" s="9">
        <f>'DIA_Giả Định'!$N$75*12</f>
        <v>300000000</v>
      </c>
      <c r="F6" s="13">
        <v>1</v>
      </c>
      <c r="G6" s="11"/>
      <c r="H6" s="6" t="s">
        <v>15</v>
      </c>
      <c r="K6" s="14"/>
      <c r="L6" s="14"/>
      <c r="M6" s="14"/>
      <c r="N6" s="14"/>
      <c r="O6" s="14"/>
      <c r="V6" s="1"/>
      <c r="W6" s="1"/>
      <c r="X6" s="1"/>
      <c r="Y6" s="1"/>
    </row>
    <row r="7" spans="1:25" ht="17.25" customHeight="1" x14ac:dyDescent="0.3">
      <c r="A7" s="6">
        <v>4</v>
      </c>
      <c r="B7" s="7" t="s">
        <v>16</v>
      </c>
      <c r="C7" s="8">
        <v>1</v>
      </c>
      <c r="D7" s="9">
        <v>0</v>
      </c>
      <c r="E7" s="9">
        <v>0</v>
      </c>
      <c r="F7" s="13">
        <v>0</v>
      </c>
      <c r="G7" s="11"/>
      <c r="H7" s="6" t="s">
        <v>17</v>
      </c>
      <c r="J7" s="14"/>
      <c r="K7" s="14"/>
      <c r="L7" s="14"/>
      <c r="M7" s="14"/>
      <c r="N7" s="14"/>
      <c r="O7" s="14"/>
      <c r="V7" s="1"/>
      <c r="W7" s="1"/>
      <c r="X7" s="1"/>
      <c r="Y7" s="1"/>
    </row>
    <row r="8" spans="1:25" ht="17.25" customHeight="1" x14ac:dyDescent="0.3">
      <c r="A8" s="6">
        <v>5</v>
      </c>
      <c r="B8" s="7" t="s">
        <v>18</v>
      </c>
      <c r="C8" s="8">
        <f>SUM(C9:C13)</f>
        <v>5</v>
      </c>
      <c r="D8" s="9">
        <f>SUM(D9:D13)</f>
        <v>96000000</v>
      </c>
      <c r="E8" s="9">
        <f>SUM(E9:E13)</f>
        <v>96000000</v>
      </c>
      <c r="F8" s="13">
        <v>1</v>
      </c>
      <c r="G8" s="11" t="s">
        <v>10</v>
      </c>
      <c r="H8" s="7"/>
      <c r="J8" s="14"/>
      <c r="K8" s="14"/>
      <c r="L8" s="14"/>
      <c r="M8" s="14"/>
      <c r="N8" s="14"/>
      <c r="O8" s="14"/>
      <c r="V8" s="1"/>
      <c r="W8" s="1"/>
      <c r="X8" s="1"/>
      <c r="Y8" s="1"/>
    </row>
    <row r="9" spans="1:25" ht="48" customHeight="1" x14ac:dyDescent="0.3">
      <c r="A9" s="15"/>
      <c r="B9" s="16" t="s">
        <v>19</v>
      </c>
      <c r="C9" s="17">
        <f>'DIA_Giả Định'!$N$133</f>
        <v>1</v>
      </c>
      <c r="D9" s="18">
        <f>'DIA_Giả Định'!$N$134</f>
        <v>6400000</v>
      </c>
      <c r="E9" s="18">
        <f t="shared" ref="E9:E14" si="0">C9*D9</f>
        <v>6400000</v>
      </c>
      <c r="F9" s="19" t="s">
        <v>20</v>
      </c>
      <c r="G9" s="20" t="s">
        <v>10</v>
      </c>
      <c r="H9" s="16" t="s">
        <v>21</v>
      </c>
      <c r="J9" s="21" t="s">
        <v>22</v>
      </c>
      <c r="K9" s="21"/>
      <c r="L9" s="21"/>
      <c r="M9" s="21"/>
      <c r="N9" s="21"/>
      <c r="O9" s="21"/>
      <c r="P9" s="22"/>
      <c r="V9" s="1"/>
      <c r="W9" s="1"/>
      <c r="X9" s="1"/>
      <c r="Y9" s="1"/>
    </row>
    <row r="10" spans="1:25" ht="17.25" customHeight="1" x14ac:dyDescent="0.3">
      <c r="A10" s="15"/>
      <c r="B10" s="16" t="s">
        <v>23</v>
      </c>
      <c r="C10" s="17">
        <v>1</v>
      </c>
      <c r="D10" s="18">
        <v>6500000</v>
      </c>
      <c r="E10" s="18">
        <f t="shared" si="0"/>
        <v>6500000</v>
      </c>
      <c r="F10" s="19" t="s">
        <v>20</v>
      </c>
      <c r="G10" s="20" t="s">
        <v>10</v>
      </c>
      <c r="H10" s="23" t="s">
        <v>24</v>
      </c>
      <c r="J10" s="24"/>
      <c r="K10" s="24"/>
      <c r="L10" s="24"/>
      <c r="M10" s="24"/>
      <c r="N10" s="24"/>
      <c r="O10" s="24"/>
      <c r="P10" s="22"/>
      <c r="V10" s="1"/>
      <c r="W10" s="1"/>
      <c r="X10" s="1"/>
      <c r="Y10" s="1"/>
    </row>
    <row r="11" spans="1:25" ht="17.25" customHeight="1" x14ac:dyDescent="0.3">
      <c r="A11" s="15"/>
      <c r="B11" s="16" t="s">
        <v>25</v>
      </c>
      <c r="C11" s="17">
        <v>1</v>
      </c>
      <c r="D11" s="18">
        <v>2000000</v>
      </c>
      <c r="E11" s="18">
        <f t="shared" si="0"/>
        <v>2000000</v>
      </c>
      <c r="F11" s="19" t="s">
        <v>20</v>
      </c>
      <c r="G11" s="20" t="s">
        <v>10</v>
      </c>
      <c r="H11" s="15" t="s">
        <v>26</v>
      </c>
      <c r="K11" s="24"/>
      <c r="L11" s="24"/>
      <c r="M11" s="24"/>
      <c r="N11" s="24"/>
      <c r="O11" s="24"/>
      <c r="P11" s="22"/>
      <c r="V11" s="1"/>
      <c r="W11" s="1"/>
      <c r="X11" s="1"/>
      <c r="Y11" s="1"/>
    </row>
    <row r="12" spans="1:25" ht="17.25" customHeight="1" x14ac:dyDescent="0.3">
      <c r="A12" s="15"/>
      <c r="B12" s="16" t="s">
        <v>27</v>
      </c>
      <c r="C12" s="17">
        <v>1</v>
      </c>
      <c r="D12" s="18">
        <v>8100000</v>
      </c>
      <c r="E12" s="18">
        <f t="shared" si="0"/>
        <v>8100000</v>
      </c>
      <c r="F12" s="19" t="s">
        <v>20</v>
      </c>
      <c r="G12" s="20" t="s">
        <v>10</v>
      </c>
      <c r="H12" s="15" t="s">
        <v>28</v>
      </c>
      <c r="J12" s="24"/>
      <c r="K12" s="24"/>
      <c r="L12" s="24"/>
      <c r="M12" s="24"/>
      <c r="N12" s="24"/>
      <c r="O12" s="24"/>
      <c r="P12" s="22"/>
      <c r="V12" s="1"/>
      <c r="W12" s="1"/>
      <c r="X12" s="1"/>
      <c r="Y12" s="1"/>
    </row>
    <row r="13" spans="1:25" ht="17.25" customHeight="1" x14ac:dyDescent="0.3">
      <c r="A13" s="15"/>
      <c r="B13" s="16" t="s">
        <v>29</v>
      </c>
      <c r="C13" s="17">
        <v>1</v>
      </c>
      <c r="D13" s="18">
        <v>73000000</v>
      </c>
      <c r="E13" s="18">
        <f t="shared" si="0"/>
        <v>73000000</v>
      </c>
      <c r="F13" s="19" t="s">
        <v>20</v>
      </c>
      <c r="G13" s="20" t="s">
        <v>10</v>
      </c>
      <c r="H13" s="15" t="s">
        <v>30</v>
      </c>
      <c r="J13" s="24"/>
      <c r="K13" s="24"/>
      <c r="L13" s="24"/>
      <c r="M13" s="24"/>
      <c r="N13" s="24"/>
      <c r="O13" s="24"/>
      <c r="P13" s="22"/>
      <c r="V13" s="1"/>
      <c r="W13" s="1"/>
      <c r="X13" s="1"/>
      <c r="Y13" s="1"/>
    </row>
    <row r="14" spans="1:25" ht="32.25" customHeight="1" x14ac:dyDescent="0.3">
      <c r="A14" s="6">
        <v>6</v>
      </c>
      <c r="B14" s="7" t="s">
        <v>31</v>
      </c>
      <c r="C14" s="8">
        <f>'DIA_Giả Định'!$N$135</f>
        <v>1</v>
      </c>
      <c r="D14" s="9">
        <f>'DIA_Giả Định'!$N$136</f>
        <v>2600000</v>
      </c>
      <c r="E14" s="9">
        <f t="shared" si="0"/>
        <v>2600000</v>
      </c>
      <c r="F14" s="10">
        <f>'DIA_Giả Định'!$N$64</f>
        <v>1</v>
      </c>
      <c r="G14" s="11" t="s">
        <v>10</v>
      </c>
      <c r="H14" s="6"/>
      <c r="J14" s="24"/>
      <c r="K14" s="24"/>
      <c r="L14" s="24"/>
      <c r="M14" s="24"/>
      <c r="N14" s="24"/>
      <c r="O14" s="24"/>
      <c r="P14" s="22"/>
      <c r="V14" s="1"/>
      <c r="W14" s="1"/>
      <c r="X14" s="1"/>
      <c r="Y14" s="1"/>
    </row>
    <row r="15" spans="1:25" ht="17.25" customHeight="1" x14ac:dyDescent="0.3">
      <c r="A15" s="6">
        <v>7</v>
      </c>
      <c r="B15" s="7" t="s">
        <v>32</v>
      </c>
      <c r="C15" s="8">
        <f>'DIA_Giả Định'!$N$139</f>
        <v>2</v>
      </c>
      <c r="D15" s="9">
        <f>SUM(D16+D17)</f>
        <v>11300000</v>
      </c>
      <c r="E15" s="9">
        <f>SUM(E16+E17)</f>
        <v>11300000</v>
      </c>
      <c r="F15" s="10">
        <f>'DIA_Giả Định'!$N$64</f>
        <v>1</v>
      </c>
      <c r="G15" s="11" t="s">
        <v>10</v>
      </c>
      <c r="H15" s="7"/>
      <c r="J15" s="24"/>
      <c r="K15" s="24"/>
      <c r="L15" s="24"/>
      <c r="M15" s="24"/>
      <c r="N15" s="24"/>
      <c r="O15" s="24"/>
      <c r="P15" s="22"/>
      <c r="V15" s="1"/>
      <c r="W15" s="1"/>
      <c r="X15" s="1"/>
      <c r="Y15" s="1"/>
    </row>
    <row r="16" spans="1:25" ht="17.25" customHeight="1" x14ac:dyDescent="0.3">
      <c r="A16" s="15"/>
      <c r="B16" s="16" t="s">
        <v>33</v>
      </c>
      <c r="C16" s="17">
        <v>1</v>
      </c>
      <c r="D16" s="18">
        <v>4100000</v>
      </c>
      <c r="E16" s="18">
        <f>C16*D16</f>
        <v>4100000</v>
      </c>
      <c r="F16" s="19" t="s">
        <v>20</v>
      </c>
      <c r="G16" s="20" t="s">
        <v>10</v>
      </c>
      <c r="H16" s="16" t="s">
        <v>34</v>
      </c>
      <c r="J16" s="24"/>
      <c r="K16" s="24"/>
      <c r="L16" s="24"/>
      <c r="M16" s="24"/>
      <c r="N16" s="24"/>
      <c r="O16" s="24"/>
      <c r="P16" s="22"/>
      <c r="V16" s="1"/>
      <c r="W16" s="1"/>
      <c r="X16" s="1"/>
      <c r="Y16" s="1"/>
    </row>
    <row r="17" spans="1:25" ht="17.25" customHeight="1" x14ac:dyDescent="0.3">
      <c r="A17" s="15"/>
      <c r="B17" s="16" t="s">
        <v>35</v>
      </c>
      <c r="C17" s="17">
        <v>1</v>
      </c>
      <c r="D17" s="18">
        <v>7200000</v>
      </c>
      <c r="E17" s="18">
        <f>C17*D17</f>
        <v>7200000</v>
      </c>
      <c r="F17" s="19" t="s">
        <v>20</v>
      </c>
      <c r="G17" s="20" t="s">
        <v>10</v>
      </c>
      <c r="H17" s="25" t="s">
        <v>36</v>
      </c>
      <c r="J17" s="24"/>
      <c r="K17" s="24"/>
      <c r="L17" s="24"/>
      <c r="M17" s="24"/>
      <c r="N17" s="24"/>
      <c r="O17" s="24"/>
      <c r="P17" s="22"/>
      <c r="V17" s="1"/>
      <c r="W17" s="1"/>
      <c r="X17" s="1"/>
      <c r="Y17" s="1"/>
    </row>
    <row r="18" spans="1:25" ht="17.25" customHeight="1" x14ac:dyDescent="0.3">
      <c r="A18" s="6">
        <v>8</v>
      </c>
      <c r="B18" s="7" t="s">
        <v>37</v>
      </c>
      <c r="C18" s="8">
        <f>'DIA_Giả Định'!$N$141</f>
        <v>6</v>
      </c>
      <c r="D18" s="9">
        <f>SUM(D19:D24)</f>
        <v>41000000</v>
      </c>
      <c r="E18" s="9">
        <f>SUM(E19:E24)</f>
        <v>41000000</v>
      </c>
      <c r="F18" s="10">
        <v>0</v>
      </c>
      <c r="G18" s="11" t="s">
        <v>38</v>
      </c>
      <c r="H18" s="7"/>
      <c r="J18" s="24"/>
      <c r="K18" s="24"/>
      <c r="L18" s="24"/>
      <c r="M18" s="24"/>
      <c r="N18" s="24"/>
      <c r="O18" s="24"/>
      <c r="P18" s="22"/>
      <c r="V18" s="1"/>
      <c r="W18" s="1"/>
      <c r="X18" s="1"/>
      <c r="Y18" s="1"/>
    </row>
    <row r="19" spans="1:25" ht="17.25" customHeight="1" x14ac:dyDescent="0.3">
      <c r="A19" s="15"/>
      <c r="B19" s="26" t="s">
        <v>39</v>
      </c>
      <c r="C19" s="27">
        <v>1</v>
      </c>
      <c r="D19" s="28">
        <v>6000000</v>
      </c>
      <c r="E19" s="28">
        <v>6000000</v>
      </c>
      <c r="F19" s="28" t="s">
        <v>40</v>
      </c>
      <c r="G19" s="29" t="s">
        <v>38</v>
      </c>
      <c r="H19" s="30" t="s">
        <v>41</v>
      </c>
      <c r="J19" s="24"/>
      <c r="K19" s="24"/>
      <c r="L19" s="24"/>
      <c r="M19" s="24"/>
      <c r="N19" s="24"/>
      <c r="O19" s="24"/>
      <c r="P19" s="22"/>
      <c r="V19" s="31"/>
      <c r="W19" s="31"/>
      <c r="X19" s="31"/>
      <c r="Y19" s="31"/>
    </row>
    <row r="20" spans="1:25" ht="17.25" customHeight="1" x14ac:dyDescent="0.3">
      <c r="A20" s="15"/>
      <c r="B20" s="32" t="s">
        <v>42</v>
      </c>
      <c r="C20" s="27">
        <v>1</v>
      </c>
      <c r="D20" s="28">
        <v>5000000</v>
      </c>
      <c r="E20" s="28">
        <v>5000000</v>
      </c>
      <c r="F20" s="28" t="s">
        <v>40</v>
      </c>
      <c r="G20" s="29" t="s">
        <v>38</v>
      </c>
      <c r="H20" s="30" t="s">
        <v>43</v>
      </c>
      <c r="J20" s="24"/>
      <c r="K20" s="24"/>
      <c r="L20" s="24"/>
      <c r="M20" s="24"/>
      <c r="N20" s="24"/>
      <c r="O20" s="24"/>
      <c r="P20" s="22"/>
      <c r="V20" s="31"/>
      <c r="W20" s="31"/>
      <c r="X20" s="31"/>
      <c r="Y20" s="31"/>
    </row>
    <row r="21" spans="1:25" ht="17.25" customHeight="1" x14ac:dyDescent="0.3">
      <c r="A21" s="15"/>
      <c r="B21" s="32" t="s">
        <v>44</v>
      </c>
      <c r="C21" s="27">
        <v>1</v>
      </c>
      <c r="D21" s="28">
        <f>'DIA_Giả Định'!$N$103</f>
        <v>5000000</v>
      </c>
      <c r="E21" s="28">
        <f>'DIA_Giả Định'!$N$103</f>
        <v>5000000</v>
      </c>
      <c r="F21" s="28" t="s">
        <v>40</v>
      </c>
      <c r="G21" s="29" t="s">
        <v>38</v>
      </c>
      <c r="H21" s="33" t="s">
        <v>45</v>
      </c>
      <c r="J21" s="24"/>
      <c r="K21" s="24"/>
      <c r="L21" s="24"/>
      <c r="M21" s="24"/>
      <c r="N21" s="24"/>
      <c r="O21" s="24"/>
      <c r="P21" s="22"/>
      <c r="V21" s="31"/>
      <c r="W21" s="31"/>
      <c r="X21" s="31"/>
      <c r="Y21" s="31"/>
    </row>
    <row r="22" spans="1:25" ht="27.75" customHeight="1" x14ac:dyDescent="0.3">
      <c r="A22" s="15"/>
      <c r="B22" s="32" t="s">
        <v>46</v>
      </c>
      <c r="C22" s="27">
        <v>1</v>
      </c>
      <c r="D22" s="28">
        <v>20000000</v>
      </c>
      <c r="E22" s="28">
        <v>20000000</v>
      </c>
      <c r="F22" s="28" t="s">
        <v>40</v>
      </c>
      <c r="G22" s="29" t="s">
        <v>38</v>
      </c>
      <c r="H22" s="34" t="s">
        <v>47</v>
      </c>
      <c r="J22" s="24"/>
      <c r="K22" s="24"/>
      <c r="L22" s="24"/>
      <c r="M22" s="24"/>
      <c r="N22" s="24"/>
      <c r="O22" s="24"/>
      <c r="P22" s="22"/>
      <c r="V22" s="31"/>
      <c r="W22" s="31"/>
      <c r="X22" s="31"/>
      <c r="Y22" s="31"/>
    </row>
    <row r="23" spans="1:25" ht="17.25" customHeight="1" x14ac:dyDescent="0.3">
      <c r="A23" s="35"/>
      <c r="B23" s="36" t="s">
        <v>48</v>
      </c>
      <c r="C23" s="37">
        <v>1</v>
      </c>
      <c r="D23" s="38">
        <v>3000000</v>
      </c>
      <c r="E23" s="38">
        <v>3000000</v>
      </c>
      <c r="F23" s="28" t="s">
        <v>40</v>
      </c>
      <c r="G23" s="29" t="s">
        <v>38</v>
      </c>
      <c r="H23" s="35" t="s">
        <v>49</v>
      </c>
      <c r="J23" s="14"/>
      <c r="K23" s="14"/>
      <c r="L23" s="14"/>
      <c r="M23" s="14"/>
      <c r="N23" s="14"/>
      <c r="O23" s="14"/>
      <c r="V23" s="1"/>
      <c r="W23" s="1"/>
      <c r="X23" s="1"/>
      <c r="Y23" s="1"/>
    </row>
    <row r="24" spans="1:25" ht="17.25" customHeight="1" x14ac:dyDescent="0.3">
      <c r="A24" s="35"/>
      <c r="B24" s="36" t="s">
        <v>50</v>
      </c>
      <c r="C24" s="37">
        <v>1</v>
      </c>
      <c r="D24" s="38">
        <v>2000000</v>
      </c>
      <c r="E24" s="38">
        <v>2000000</v>
      </c>
      <c r="F24" s="28" t="s">
        <v>40</v>
      </c>
      <c r="G24" s="29" t="s">
        <v>38</v>
      </c>
      <c r="H24" s="35" t="s">
        <v>51</v>
      </c>
      <c r="J24" s="14"/>
      <c r="K24" s="14"/>
      <c r="L24" s="14"/>
      <c r="M24" s="14"/>
      <c r="N24" s="14"/>
      <c r="O24" s="14"/>
      <c r="V24" s="1"/>
      <c r="W24" s="1"/>
      <c r="X24" s="1"/>
      <c r="Y24" s="1"/>
    </row>
    <row r="25" spans="1:25" ht="17.25" customHeight="1" x14ac:dyDescent="0.3">
      <c r="A25" s="6">
        <v>9</v>
      </c>
      <c r="B25" s="7" t="s">
        <v>52</v>
      </c>
      <c r="C25" s="8">
        <f>SUM(C26:C33)</f>
        <v>12</v>
      </c>
      <c r="D25" s="9">
        <f>SUM(D26:D33)</f>
        <v>259850000</v>
      </c>
      <c r="E25" s="9">
        <f>SUM(E26:E33)</f>
        <v>264650000</v>
      </c>
      <c r="F25" s="10">
        <v>1</v>
      </c>
      <c r="G25" s="11" t="s">
        <v>53</v>
      </c>
      <c r="H25" s="6"/>
      <c r="J25" s="24"/>
      <c r="K25" s="24"/>
      <c r="L25" s="24"/>
      <c r="M25" s="24"/>
      <c r="N25" s="24"/>
      <c r="O25" s="24"/>
      <c r="P25" s="22"/>
      <c r="V25" s="1"/>
      <c r="W25" s="1"/>
      <c r="X25" s="1"/>
      <c r="Y25" s="1"/>
    </row>
    <row r="26" spans="1:25" ht="17.25" customHeight="1" x14ac:dyDescent="0.3">
      <c r="A26" s="39"/>
      <c r="B26" s="16" t="s">
        <v>54</v>
      </c>
      <c r="C26" s="17">
        <v>1</v>
      </c>
      <c r="D26" s="18">
        <v>6500000</v>
      </c>
      <c r="E26" s="18">
        <v>6500000</v>
      </c>
      <c r="F26" s="40">
        <v>1</v>
      </c>
      <c r="G26" s="20" t="s">
        <v>53</v>
      </c>
      <c r="H26" s="15" t="s">
        <v>55</v>
      </c>
      <c r="J26" s="24"/>
      <c r="K26" s="24"/>
      <c r="L26" s="24"/>
      <c r="M26" s="24"/>
      <c r="N26" s="24"/>
      <c r="O26" s="24"/>
      <c r="P26" s="22"/>
      <c r="V26" s="1"/>
      <c r="W26" s="1"/>
      <c r="X26" s="1"/>
      <c r="Y26" s="1"/>
    </row>
    <row r="27" spans="1:25" ht="32.25" customHeight="1" x14ac:dyDescent="0.3">
      <c r="A27" s="23"/>
      <c r="B27" s="41" t="s">
        <v>56</v>
      </c>
      <c r="C27" s="17">
        <v>1</v>
      </c>
      <c r="D27" s="18">
        <v>151200000</v>
      </c>
      <c r="E27" s="18">
        <v>151200000</v>
      </c>
      <c r="F27" s="40">
        <v>1</v>
      </c>
      <c r="G27" s="20" t="s">
        <v>53</v>
      </c>
      <c r="H27" s="15" t="s">
        <v>57</v>
      </c>
      <c r="J27" s="24"/>
      <c r="K27" s="24"/>
      <c r="L27" s="24"/>
      <c r="M27" s="24"/>
      <c r="N27" s="24"/>
      <c r="O27" s="24"/>
      <c r="P27" s="22"/>
      <c r="V27" s="1"/>
      <c r="W27" s="1"/>
      <c r="X27" s="1"/>
      <c r="Y27" s="1"/>
    </row>
    <row r="28" spans="1:25" ht="17.25" customHeight="1" x14ac:dyDescent="0.3">
      <c r="A28" s="42"/>
      <c r="B28" s="16" t="s">
        <v>58</v>
      </c>
      <c r="C28" s="17">
        <v>1</v>
      </c>
      <c r="D28" s="18">
        <v>2700000</v>
      </c>
      <c r="E28" s="18">
        <v>2700000</v>
      </c>
      <c r="F28" s="40">
        <v>1</v>
      </c>
      <c r="G28" s="20" t="s">
        <v>53</v>
      </c>
      <c r="H28" s="15" t="s">
        <v>59</v>
      </c>
      <c r="J28" s="24"/>
      <c r="K28" s="24"/>
      <c r="L28" s="24"/>
      <c r="M28" s="24"/>
      <c r="N28" s="24"/>
      <c r="O28" s="24"/>
      <c r="P28" s="22"/>
      <c r="V28" s="1"/>
      <c r="W28" s="1"/>
      <c r="X28" s="1"/>
      <c r="Y28" s="1"/>
    </row>
    <row r="29" spans="1:25" ht="17.25" customHeight="1" x14ac:dyDescent="0.3">
      <c r="A29" s="42"/>
      <c r="B29" s="16" t="s">
        <v>60</v>
      </c>
      <c r="C29" s="17">
        <v>1</v>
      </c>
      <c r="D29" s="18">
        <v>700000</v>
      </c>
      <c r="E29" s="18">
        <v>700000</v>
      </c>
      <c r="F29" s="40">
        <v>1</v>
      </c>
      <c r="G29" s="20" t="s">
        <v>53</v>
      </c>
      <c r="H29" s="15" t="s">
        <v>61</v>
      </c>
      <c r="J29" s="24"/>
      <c r="K29" s="24"/>
      <c r="L29" s="24"/>
      <c r="M29" s="24"/>
      <c r="N29" s="24"/>
      <c r="O29" s="24"/>
      <c r="P29" s="22"/>
      <c r="V29" s="1"/>
      <c r="W29" s="1"/>
      <c r="X29" s="1"/>
      <c r="Y29" s="1"/>
    </row>
    <row r="30" spans="1:25" ht="17.25" customHeight="1" x14ac:dyDescent="0.3">
      <c r="A30" s="42"/>
      <c r="B30" s="16" t="s">
        <v>62</v>
      </c>
      <c r="C30" s="17">
        <v>1</v>
      </c>
      <c r="D30" s="18">
        <v>700000</v>
      </c>
      <c r="E30" s="18">
        <v>700000</v>
      </c>
      <c r="F30" s="40">
        <v>1</v>
      </c>
      <c r="G30" s="20" t="s">
        <v>53</v>
      </c>
      <c r="H30" s="15" t="s">
        <v>63</v>
      </c>
      <c r="J30" s="24"/>
      <c r="K30" s="24"/>
      <c r="L30" s="24"/>
      <c r="M30" s="24"/>
      <c r="N30" s="24"/>
      <c r="O30" s="24"/>
      <c r="P30" s="22"/>
      <c r="V30" s="1"/>
      <c r="W30" s="1"/>
      <c r="X30" s="1"/>
      <c r="Y30" s="1"/>
    </row>
    <row r="31" spans="1:25" ht="17.25" customHeight="1" x14ac:dyDescent="0.3">
      <c r="A31" s="15"/>
      <c r="B31" s="16" t="s">
        <v>64</v>
      </c>
      <c r="C31" s="17">
        <v>1</v>
      </c>
      <c r="D31" s="18">
        <v>850000</v>
      </c>
      <c r="E31" s="18">
        <v>850000</v>
      </c>
      <c r="F31" s="40">
        <v>1</v>
      </c>
      <c r="G31" s="20" t="s">
        <v>53</v>
      </c>
      <c r="H31" s="15" t="s">
        <v>65</v>
      </c>
      <c r="J31" s="24"/>
      <c r="K31" s="24"/>
      <c r="L31" s="24"/>
      <c r="M31" s="24"/>
      <c r="N31" s="24"/>
      <c r="O31" s="24"/>
      <c r="P31" s="22"/>
      <c r="V31" s="1"/>
      <c r="W31" s="1"/>
      <c r="X31" s="1"/>
      <c r="Y31" s="1"/>
    </row>
    <row r="32" spans="1:25" ht="17.25" customHeight="1" x14ac:dyDescent="0.3">
      <c r="A32" s="15"/>
      <c r="B32" s="16" t="s">
        <v>66</v>
      </c>
      <c r="C32" s="17">
        <v>5</v>
      </c>
      <c r="D32" s="18">
        <v>1200000</v>
      </c>
      <c r="E32" s="18">
        <f>C32*D32</f>
        <v>6000000</v>
      </c>
      <c r="F32" s="40">
        <v>1</v>
      </c>
      <c r="G32" s="20" t="s">
        <v>53</v>
      </c>
      <c r="H32" s="43" t="s">
        <v>67</v>
      </c>
      <c r="J32" s="24"/>
      <c r="K32" s="24"/>
      <c r="L32" s="24"/>
      <c r="M32" s="24"/>
      <c r="N32" s="24"/>
      <c r="O32" s="24"/>
      <c r="P32" s="22"/>
      <c r="V32" s="1"/>
      <c r="W32" s="1"/>
      <c r="X32" s="1"/>
      <c r="Y32" s="1"/>
    </row>
    <row r="33" spans="1:25" ht="17.25" customHeight="1" x14ac:dyDescent="0.3">
      <c r="A33" s="15"/>
      <c r="B33" s="36" t="s">
        <v>68</v>
      </c>
      <c r="C33" s="17">
        <f>'DIA_Giả Định'!$N$92</f>
        <v>1</v>
      </c>
      <c r="D33" s="18">
        <f>'DIA_Giả Định'!$N$93</f>
        <v>96000000</v>
      </c>
      <c r="E33" s="18">
        <f>C33*D33</f>
        <v>96000000</v>
      </c>
      <c r="F33" s="40">
        <v>1</v>
      </c>
      <c r="G33" s="20" t="s">
        <v>53</v>
      </c>
      <c r="H33" s="15" t="s">
        <v>69</v>
      </c>
      <c r="J33" s="24"/>
      <c r="K33" s="24"/>
      <c r="L33" s="24"/>
      <c r="M33" s="24"/>
      <c r="N33" s="24"/>
      <c r="O33" s="24"/>
      <c r="P33" s="22"/>
      <c r="V33" s="1"/>
      <c r="W33" s="1"/>
      <c r="X33" s="1"/>
      <c r="Y33" s="1"/>
    </row>
    <row r="34" spans="1:25" ht="17.25" customHeight="1" x14ac:dyDescent="0.3">
      <c r="A34" s="6">
        <v>10</v>
      </c>
      <c r="B34" s="7" t="s">
        <v>70</v>
      </c>
      <c r="C34" s="8">
        <f>'DIA_Giả Định'!$N$137</f>
        <v>2</v>
      </c>
      <c r="D34" s="9">
        <f>'DIA_Giả Định'!$N$138</f>
        <v>320000000</v>
      </c>
      <c r="E34" s="9">
        <f>'DIA_Giả Định'!$N$138</f>
        <v>320000000</v>
      </c>
      <c r="F34" s="10">
        <f>'DIA_Giả Định'!$N$64</f>
        <v>1</v>
      </c>
      <c r="G34" s="11" t="s">
        <v>71</v>
      </c>
      <c r="H34" s="6"/>
      <c r="J34" s="24"/>
      <c r="K34" s="24"/>
      <c r="L34" s="24"/>
      <c r="M34" s="24"/>
      <c r="N34" s="24"/>
      <c r="O34" s="24"/>
      <c r="P34" s="22"/>
      <c r="V34" s="1"/>
      <c r="W34" s="1"/>
      <c r="X34" s="1"/>
      <c r="Y34" s="1"/>
    </row>
    <row r="35" spans="1:25" ht="17.25" customHeight="1" x14ac:dyDescent="0.3">
      <c r="A35" s="15"/>
      <c r="B35" s="16" t="s">
        <v>72</v>
      </c>
      <c r="C35" s="17">
        <v>1</v>
      </c>
      <c r="D35" s="18">
        <v>220000000</v>
      </c>
      <c r="E35" s="18">
        <v>220000000</v>
      </c>
      <c r="F35" s="40">
        <f>'DIA_Giả Định'!$N$64</f>
        <v>1</v>
      </c>
      <c r="G35" s="11" t="s">
        <v>71</v>
      </c>
      <c r="H35" s="15" t="s">
        <v>73</v>
      </c>
      <c r="J35" s="24"/>
      <c r="K35" s="24"/>
      <c r="L35" s="24"/>
      <c r="M35" s="24"/>
      <c r="N35" s="24"/>
      <c r="O35" s="24"/>
      <c r="P35" s="22"/>
      <c r="V35" s="1"/>
      <c r="W35" s="1"/>
      <c r="X35" s="1"/>
      <c r="Y35" s="1"/>
    </row>
    <row r="36" spans="1:25" ht="17.25" customHeight="1" x14ac:dyDescent="0.3">
      <c r="A36" s="15"/>
      <c r="B36" s="16" t="s">
        <v>74</v>
      </c>
      <c r="C36" s="17">
        <v>1</v>
      </c>
      <c r="D36" s="18">
        <v>180000000</v>
      </c>
      <c r="E36" s="18">
        <v>180000000</v>
      </c>
      <c r="F36" s="40">
        <f>'DIA_Giả Định'!$N$64</f>
        <v>1</v>
      </c>
      <c r="G36" s="11" t="s">
        <v>71</v>
      </c>
      <c r="H36" s="16" t="s">
        <v>75</v>
      </c>
      <c r="J36" s="24"/>
      <c r="K36" s="24"/>
      <c r="L36" s="24"/>
      <c r="M36" s="24"/>
      <c r="N36" s="24"/>
      <c r="O36" s="24"/>
      <c r="P36" s="22"/>
      <c r="V36" s="1"/>
      <c r="W36" s="1"/>
      <c r="X36" s="1"/>
      <c r="Y36" s="1"/>
    </row>
    <row r="37" spans="1:25" ht="17.25" customHeight="1" x14ac:dyDescent="0.3">
      <c r="A37" s="209" t="s">
        <v>76</v>
      </c>
      <c r="B37" s="209"/>
      <c r="C37" s="209"/>
      <c r="D37" s="209"/>
      <c r="E37" s="44">
        <f>SUM(E4:E8,E14:E15,E18,E25,E34)</f>
        <v>1175350000</v>
      </c>
      <c r="F37" s="45"/>
      <c r="G37" s="45"/>
      <c r="H37" s="45"/>
      <c r="J37" s="24"/>
      <c r="K37" s="24"/>
      <c r="L37" s="24"/>
      <c r="M37" s="24"/>
      <c r="N37" s="24"/>
      <c r="O37" s="24"/>
      <c r="P37" s="31"/>
      <c r="Q37" s="1"/>
      <c r="R37" s="1"/>
      <c r="S37" s="1"/>
      <c r="T37" s="1"/>
      <c r="U37" s="1"/>
      <c r="V37" s="1"/>
      <c r="W37" s="1"/>
      <c r="X37" s="1"/>
      <c r="Y37" s="1"/>
    </row>
    <row r="38" spans="1:25" ht="13.5" customHeight="1" x14ac:dyDescent="0.3">
      <c r="A38" s="3"/>
      <c r="B38" s="1"/>
      <c r="C38" s="1"/>
      <c r="D38" s="1"/>
      <c r="E38" s="1"/>
      <c r="F38" s="1"/>
      <c r="G38" s="1"/>
      <c r="H38" s="1"/>
      <c r="I38" s="1"/>
      <c r="J38" s="24"/>
      <c r="K38" s="24"/>
      <c r="L38" s="24"/>
      <c r="M38" s="24"/>
      <c r="N38" s="24"/>
      <c r="O38" s="24"/>
      <c r="P38" s="31"/>
      <c r="Q38" s="1"/>
      <c r="R38" s="1"/>
      <c r="S38" s="1"/>
      <c r="T38" s="1"/>
      <c r="U38" s="1"/>
      <c r="V38" s="1"/>
      <c r="W38" s="1"/>
      <c r="X38" s="1"/>
      <c r="Y38" s="1"/>
    </row>
    <row r="39" spans="1:25" ht="13.5" customHeight="1" x14ac:dyDescent="0.3">
      <c r="A39" s="3"/>
      <c r="B39" s="1"/>
      <c r="C39" s="1"/>
      <c r="D39" s="1"/>
      <c r="E39" s="1"/>
      <c r="F39" s="1"/>
      <c r="G39" s="1"/>
      <c r="H39" s="1"/>
      <c r="I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3.5" customHeight="1" x14ac:dyDescent="0.3">
      <c r="A40" s="3"/>
      <c r="B40" s="1"/>
      <c r="C40" s="1"/>
      <c r="D40" s="1"/>
      <c r="E40" s="1"/>
      <c r="F40" s="1"/>
      <c r="G40" s="1"/>
      <c r="H40" s="1" t="s">
        <v>77</v>
      </c>
      <c r="I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3.5" customHeight="1" x14ac:dyDescent="0.3">
      <c r="A41" s="3"/>
      <c r="B41" s="1"/>
      <c r="C41" s="1"/>
      <c r="D41" s="1"/>
      <c r="E41" s="1"/>
      <c r="F41" s="1"/>
      <c r="G41" s="1"/>
      <c r="H41" s="1"/>
      <c r="I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3.5" customHeight="1" x14ac:dyDescent="0.3">
      <c r="A42" s="3"/>
      <c r="B42" s="1"/>
      <c r="C42" s="1"/>
      <c r="D42" s="1"/>
      <c r="E42" s="1"/>
      <c r="F42" s="1"/>
      <c r="G42" s="1"/>
      <c r="H42" s="1"/>
      <c r="I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.5" customHeight="1" x14ac:dyDescent="0.3">
      <c r="A43" s="3"/>
      <c r="B43" s="1"/>
      <c r="C43" s="1"/>
      <c r="D43" s="1"/>
      <c r="E43" s="1"/>
      <c r="F43" s="1"/>
      <c r="G43" s="1"/>
      <c r="H43" s="1"/>
      <c r="I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5" customHeight="1" x14ac:dyDescent="0.3">
      <c r="A44" s="3"/>
      <c r="B44" s="1"/>
      <c r="C44" s="1"/>
      <c r="D44" s="1"/>
      <c r="E44" s="1"/>
      <c r="F44" s="1"/>
      <c r="G44" s="1"/>
      <c r="H44" s="1"/>
      <c r="I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5" customHeight="1" x14ac:dyDescent="0.3">
      <c r="A45" s="3"/>
      <c r="B45" s="1"/>
      <c r="C45" s="1"/>
      <c r="D45" s="1"/>
      <c r="E45" s="1"/>
      <c r="F45" s="1"/>
      <c r="G45" s="1"/>
      <c r="H45" s="1"/>
      <c r="I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5" customHeight="1" x14ac:dyDescent="0.3">
      <c r="A46" s="3"/>
      <c r="B46" s="1"/>
      <c r="C46" s="1"/>
      <c r="D46" s="1"/>
      <c r="E46" s="1"/>
      <c r="F46" s="1"/>
      <c r="G46" s="1"/>
      <c r="H46" s="1"/>
      <c r="I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5" customHeight="1" x14ac:dyDescent="0.3">
      <c r="A47" s="3"/>
      <c r="B47" s="1"/>
      <c r="C47" s="1"/>
      <c r="D47" s="1"/>
      <c r="E47" s="1"/>
      <c r="F47" s="1"/>
      <c r="G47" s="1"/>
      <c r="H47" s="1"/>
      <c r="I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5" customHeight="1" x14ac:dyDescent="0.3">
      <c r="A48" s="3"/>
      <c r="B48" s="1"/>
      <c r="C48" s="1"/>
      <c r="D48" s="1"/>
      <c r="E48" s="1"/>
      <c r="F48" s="1"/>
      <c r="G48" s="1"/>
      <c r="H48" s="1"/>
      <c r="I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5" customHeight="1" x14ac:dyDescent="0.3">
      <c r="A49" s="3"/>
      <c r="B49" s="1"/>
      <c r="C49" s="1"/>
      <c r="D49" s="1"/>
      <c r="E49" s="1"/>
      <c r="F49" s="1"/>
      <c r="G49" s="1"/>
      <c r="H49" s="1"/>
      <c r="I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5" customHeight="1" x14ac:dyDescent="0.3">
      <c r="A50" s="3"/>
      <c r="B50" s="1"/>
      <c r="C50" s="1"/>
      <c r="D50" s="1"/>
      <c r="E50" s="1"/>
      <c r="F50" s="1"/>
      <c r="G50" s="1"/>
      <c r="H50" s="1"/>
      <c r="I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5" customHeight="1" x14ac:dyDescent="0.3">
      <c r="A51" s="3"/>
      <c r="B51" s="1"/>
      <c r="C51" s="1"/>
      <c r="D51" s="1"/>
      <c r="E51" s="1"/>
      <c r="F51" s="1"/>
      <c r="G51" s="1"/>
      <c r="H51" s="1"/>
      <c r="I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5" customHeight="1" x14ac:dyDescent="0.3">
      <c r="A52" s="3"/>
      <c r="B52" s="1"/>
      <c r="C52" s="1"/>
      <c r="D52" s="1"/>
      <c r="E52" s="1"/>
      <c r="F52" s="1"/>
      <c r="G52" s="1"/>
      <c r="H52" s="1"/>
      <c r="I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5" customHeight="1" x14ac:dyDescent="0.3">
      <c r="A53" s="3"/>
      <c r="B53" s="1"/>
      <c r="C53" s="1"/>
      <c r="D53" s="1"/>
      <c r="E53" s="1"/>
      <c r="F53" s="1"/>
      <c r="G53" s="1"/>
      <c r="H53" s="1"/>
      <c r="I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5" customHeight="1" x14ac:dyDescent="0.3">
      <c r="A54" s="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5" customHeight="1" x14ac:dyDescent="0.3">
      <c r="A55" s="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5" customHeight="1" x14ac:dyDescent="0.3">
      <c r="A56" s="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5" customHeight="1" x14ac:dyDescent="0.3">
      <c r="A57" s="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5" customHeight="1" x14ac:dyDescent="0.3">
      <c r="A58" s="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5" customHeight="1" x14ac:dyDescent="0.3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5" customHeight="1" x14ac:dyDescent="0.3">
      <c r="A60" s="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5" customHeight="1" x14ac:dyDescent="0.3">
      <c r="A61" s="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5" customHeight="1" x14ac:dyDescent="0.3">
      <c r="A62" s="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5" customHeight="1" x14ac:dyDescent="0.3">
      <c r="A63" s="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5" customHeight="1" x14ac:dyDescent="0.3">
      <c r="A64" s="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5" customHeight="1" x14ac:dyDescent="0.3">
      <c r="A65" s="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5" customHeight="1" x14ac:dyDescent="0.3">
      <c r="A66" s="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5" customHeight="1" x14ac:dyDescent="0.3">
      <c r="A67" s="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5" customHeight="1" x14ac:dyDescent="0.3">
      <c r="A68" s="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5" customHeight="1" x14ac:dyDescent="0.3">
      <c r="A69" s="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5" customHeight="1" x14ac:dyDescent="0.3">
      <c r="A70" s="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5" customHeight="1" x14ac:dyDescent="0.3">
      <c r="A71" s="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5" customHeight="1" x14ac:dyDescent="0.3">
      <c r="A72" s="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5" customHeight="1" x14ac:dyDescent="0.3">
      <c r="A73" s="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5" customHeight="1" x14ac:dyDescent="0.3">
      <c r="A74" s="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5" customHeight="1" x14ac:dyDescent="0.3">
      <c r="A75" s="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5" customHeight="1" x14ac:dyDescent="0.3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5" customHeight="1" x14ac:dyDescent="0.3">
      <c r="A77" s="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5" customHeight="1" x14ac:dyDescent="0.3">
      <c r="A78" s="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5" customHeight="1" x14ac:dyDescent="0.3">
      <c r="A79" s="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5" customHeight="1" x14ac:dyDescent="0.3">
      <c r="A80" s="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5" customHeight="1" x14ac:dyDescent="0.3">
      <c r="A81" s="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5" customHeight="1" x14ac:dyDescent="0.3">
      <c r="A82" s="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5" customHeight="1" x14ac:dyDescent="0.3">
      <c r="A83" s="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5" customHeight="1" x14ac:dyDescent="0.3">
      <c r="A84" s="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5" customHeight="1" x14ac:dyDescent="0.3">
      <c r="A85" s="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5" customHeight="1" x14ac:dyDescent="0.3">
      <c r="A86" s="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5" customHeight="1" x14ac:dyDescent="0.3">
      <c r="A87" s="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5" customHeight="1" x14ac:dyDescent="0.3">
      <c r="A88" s="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5" customHeight="1" x14ac:dyDescent="0.3">
      <c r="A89" s="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5" customHeight="1" x14ac:dyDescent="0.3">
      <c r="A90" s="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5" customHeight="1" x14ac:dyDescent="0.3">
      <c r="A91" s="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5" customHeight="1" x14ac:dyDescent="0.3">
      <c r="A92" s="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5" customHeight="1" x14ac:dyDescent="0.3">
      <c r="A93" s="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5" customHeight="1" x14ac:dyDescent="0.3">
      <c r="A94" s="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5" customHeight="1" x14ac:dyDescent="0.3">
      <c r="A95" s="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5" customHeight="1" x14ac:dyDescent="0.3">
      <c r="A96" s="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5" customHeight="1" x14ac:dyDescent="0.3">
      <c r="A97" s="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5" customHeight="1" x14ac:dyDescent="0.3">
      <c r="A98" s="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5" customHeight="1" x14ac:dyDescent="0.3">
      <c r="A99" s="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5" customHeight="1" x14ac:dyDescent="0.3">
      <c r="A100" s="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5" customHeight="1" x14ac:dyDescent="0.3">
      <c r="A101" s="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5" customHeight="1" x14ac:dyDescent="0.3">
      <c r="A102" s="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5" customHeight="1" x14ac:dyDescent="0.3">
      <c r="A103" s="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5" customHeight="1" x14ac:dyDescent="0.3">
      <c r="A104" s="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5" customHeight="1" x14ac:dyDescent="0.3">
      <c r="A105" s="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5" customHeight="1" x14ac:dyDescent="0.3">
      <c r="A106" s="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5" customHeight="1" x14ac:dyDescent="0.3">
      <c r="A107" s="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5" customHeight="1" x14ac:dyDescent="0.3">
      <c r="A108" s="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5" customHeight="1" x14ac:dyDescent="0.3">
      <c r="A109" s="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5" customHeight="1" x14ac:dyDescent="0.3">
      <c r="A110" s="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5" customHeight="1" x14ac:dyDescent="0.3">
      <c r="A111" s="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5" customHeight="1" x14ac:dyDescent="0.3">
      <c r="A112" s="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5" customHeight="1" x14ac:dyDescent="0.3">
      <c r="A113" s="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5" customHeight="1" x14ac:dyDescent="0.3">
      <c r="A114" s="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5" customHeight="1" x14ac:dyDescent="0.3">
      <c r="A115" s="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5" customHeight="1" x14ac:dyDescent="0.3">
      <c r="A116" s="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5" customHeight="1" x14ac:dyDescent="0.3">
      <c r="A117" s="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5" customHeight="1" x14ac:dyDescent="0.3">
      <c r="A118" s="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5" customHeight="1" x14ac:dyDescent="0.3">
      <c r="A119" s="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5" customHeight="1" x14ac:dyDescent="0.3">
      <c r="A120" s="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5" customHeight="1" x14ac:dyDescent="0.3">
      <c r="A121" s="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5" customHeight="1" x14ac:dyDescent="0.3">
      <c r="A122" s="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5" customHeight="1" x14ac:dyDescent="0.3">
      <c r="A123" s="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5" customHeight="1" x14ac:dyDescent="0.3">
      <c r="A124" s="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5" customHeight="1" x14ac:dyDescent="0.3">
      <c r="A125" s="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5" customHeight="1" x14ac:dyDescent="0.3">
      <c r="A126" s="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5" customHeight="1" x14ac:dyDescent="0.3">
      <c r="A127" s="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5" customHeight="1" x14ac:dyDescent="0.3">
      <c r="A128" s="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5" customHeight="1" x14ac:dyDescent="0.3">
      <c r="A129" s="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5" customHeight="1" x14ac:dyDescent="0.3">
      <c r="A130" s="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5" customHeight="1" x14ac:dyDescent="0.3">
      <c r="A131" s="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5" customHeight="1" x14ac:dyDescent="0.3">
      <c r="A132" s="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5" customHeight="1" x14ac:dyDescent="0.3">
      <c r="A133" s="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5" customHeight="1" x14ac:dyDescent="0.3">
      <c r="A134" s="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5" customHeight="1" x14ac:dyDescent="0.3">
      <c r="A135" s="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5" customHeight="1" x14ac:dyDescent="0.3">
      <c r="A136" s="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5" customHeight="1" x14ac:dyDescent="0.3">
      <c r="A137" s="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5" customHeight="1" x14ac:dyDescent="0.3">
      <c r="A138" s="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5" customHeight="1" x14ac:dyDescent="0.3">
      <c r="A139" s="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5" customHeight="1" x14ac:dyDescent="0.3">
      <c r="A140" s="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5" customHeight="1" x14ac:dyDescent="0.3">
      <c r="A141" s="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5" customHeight="1" x14ac:dyDescent="0.3">
      <c r="A142" s="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5" customHeight="1" x14ac:dyDescent="0.3">
      <c r="A143" s="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5" customHeight="1" x14ac:dyDescent="0.3">
      <c r="A144" s="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5" customHeight="1" x14ac:dyDescent="0.3">
      <c r="A145" s="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5" customHeight="1" x14ac:dyDescent="0.3">
      <c r="A146" s="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5" customHeight="1" x14ac:dyDescent="0.3">
      <c r="A147" s="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5" customHeight="1" x14ac:dyDescent="0.3">
      <c r="A148" s="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5" customHeight="1" x14ac:dyDescent="0.3">
      <c r="A149" s="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5" customHeight="1" x14ac:dyDescent="0.3">
      <c r="A150" s="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5" customHeight="1" x14ac:dyDescent="0.3">
      <c r="A151" s="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5" customHeight="1" x14ac:dyDescent="0.3">
      <c r="A152" s="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5" customHeight="1" x14ac:dyDescent="0.3">
      <c r="A153" s="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5" customHeight="1" x14ac:dyDescent="0.3">
      <c r="A154" s="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5" customHeight="1" x14ac:dyDescent="0.3">
      <c r="A155" s="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5" customHeight="1" x14ac:dyDescent="0.3">
      <c r="A156" s="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5" customHeight="1" x14ac:dyDescent="0.3">
      <c r="A157" s="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5" customHeight="1" x14ac:dyDescent="0.3">
      <c r="A158" s="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5" customHeight="1" x14ac:dyDescent="0.3">
      <c r="A159" s="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5" customHeight="1" x14ac:dyDescent="0.3">
      <c r="A160" s="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5" customHeight="1" x14ac:dyDescent="0.3">
      <c r="A161" s="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5" customHeight="1" x14ac:dyDescent="0.3">
      <c r="A162" s="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5" customHeight="1" x14ac:dyDescent="0.3">
      <c r="A163" s="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5" customHeight="1" x14ac:dyDescent="0.3">
      <c r="A164" s="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5" customHeight="1" x14ac:dyDescent="0.3">
      <c r="A165" s="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5" customHeight="1" x14ac:dyDescent="0.3">
      <c r="A166" s="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5" customHeight="1" x14ac:dyDescent="0.3">
      <c r="A167" s="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5" customHeight="1" x14ac:dyDescent="0.3">
      <c r="A168" s="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5" customHeight="1" x14ac:dyDescent="0.3">
      <c r="A169" s="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5" customHeight="1" x14ac:dyDescent="0.3">
      <c r="A170" s="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5" customHeight="1" x14ac:dyDescent="0.3">
      <c r="A171" s="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5" customHeight="1" x14ac:dyDescent="0.3">
      <c r="A172" s="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5" customHeight="1" x14ac:dyDescent="0.3">
      <c r="A173" s="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5" customHeight="1" x14ac:dyDescent="0.3">
      <c r="A174" s="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5" customHeight="1" x14ac:dyDescent="0.3">
      <c r="A175" s="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5" customHeight="1" x14ac:dyDescent="0.3">
      <c r="A176" s="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5" customHeight="1" x14ac:dyDescent="0.3">
      <c r="A177" s="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5" customHeight="1" x14ac:dyDescent="0.3">
      <c r="A178" s="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5" customHeight="1" x14ac:dyDescent="0.3">
      <c r="A179" s="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5" customHeight="1" x14ac:dyDescent="0.3">
      <c r="A180" s="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5" customHeight="1" x14ac:dyDescent="0.3">
      <c r="A181" s="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5" customHeight="1" x14ac:dyDescent="0.3">
      <c r="A182" s="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5" customHeight="1" x14ac:dyDescent="0.3">
      <c r="A183" s="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5" customHeight="1" x14ac:dyDescent="0.3">
      <c r="A184" s="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5" customHeight="1" x14ac:dyDescent="0.3">
      <c r="A185" s="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5" customHeight="1" x14ac:dyDescent="0.3">
      <c r="A186" s="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5" customHeight="1" x14ac:dyDescent="0.3">
      <c r="A187" s="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5" customHeight="1" x14ac:dyDescent="0.3">
      <c r="A188" s="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5" customHeight="1" x14ac:dyDescent="0.3">
      <c r="A189" s="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5" customHeight="1" x14ac:dyDescent="0.3">
      <c r="A190" s="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5" customHeight="1" x14ac:dyDescent="0.3">
      <c r="A191" s="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5" customHeight="1" x14ac:dyDescent="0.3">
      <c r="A192" s="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5" customHeight="1" x14ac:dyDescent="0.3">
      <c r="A193" s="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5" customHeight="1" x14ac:dyDescent="0.3">
      <c r="A194" s="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5" customHeight="1" x14ac:dyDescent="0.3">
      <c r="A195" s="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5" customHeight="1" x14ac:dyDescent="0.3">
      <c r="A196" s="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5" customHeight="1" x14ac:dyDescent="0.3">
      <c r="A197" s="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5" customHeight="1" x14ac:dyDescent="0.3">
      <c r="A198" s="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5" customHeight="1" x14ac:dyDescent="0.3">
      <c r="A199" s="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5" customHeight="1" x14ac:dyDescent="0.3">
      <c r="A200" s="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5" customHeight="1" x14ac:dyDescent="0.3">
      <c r="A201" s="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5" customHeight="1" x14ac:dyDescent="0.3">
      <c r="A202" s="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5" customHeight="1" x14ac:dyDescent="0.3">
      <c r="A203" s="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5" customHeight="1" x14ac:dyDescent="0.3">
      <c r="A204" s="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5" customHeight="1" x14ac:dyDescent="0.3">
      <c r="A205" s="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5" customHeight="1" x14ac:dyDescent="0.3">
      <c r="A206" s="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5" customHeight="1" x14ac:dyDescent="0.3">
      <c r="A207" s="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5" customHeight="1" x14ac:dyDescent="0.3">
      <c r="A208" s="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5" customHeight="1" x14ac:dyDescent="0.3">
      <c r="A209" s="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5" customHeight="1" x14ac:dyDescent="0.3">
      <c r="A210" s="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5" customHeight="1" x14ac:dyDescent="0.3">
      <c r="A211" s="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5" customHeight="1" x14ac:dyDescent="0.3">
      <c r="A212" s="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5" customHeight="1" x14ac:dyDescent="0.3">
      <c r="A213" s="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5" customHeight="1" x14ac:dyDescent="0.3">
      <c r="A214" s="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5" customHeight="1" x14ac:dyDescent="0.3">
      <c r="A215" s="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5" customHeight="1" x14ac:dyDescent="0.3">
      <c r="A216" s="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5" customHeight="1" x14ac:dyDescent="0.3">
      <c r="A217" s="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5" customHeight="1" x14ac:dyDescent="0.3">
      <c r="A218" s="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5" customHeight="1" x14ac:dyDescent="0.3">
      <c r="A219" s="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5" customHeight="1" x14ac:dyDescent="0.3">
      <c r="A220" s="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5" customHeight="1" x14ac:dyDescent="0.3">
      <c r="A221" s="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5" customHeight="1" x14ac:dyDescent="0.3">
      <c r="A222" s="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5" customHeight="1" x14ac:dyDescent="0.3">
      <c r="A223" s="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5" customHeight="1" x14ac:dyDescent="0.3">
      <c r="A224" s="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5" customHeight="1" x14ac:dyDescent="0.3">
      <c r="A225" s="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5" customHeight="1" x14ac:dyDescent="0.3">
      <c r="A226" s="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5" customHeight="1" x14ac:dyDescent="0.3">
      <c r="A227" s="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5" customHeight="1" x14ac:dyDescent="0.3">
      <c r="A228" s="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5" customHeight="1" x14ac:dyDescent="0.3">
      <c r="A229" s="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5" customHeight="1" x14ac:dyDescent="0.3">
      <c r="A230" s="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5" customHeight="1" x14ac:dyDescent="0.3">
      <c r="A231" s="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5" customHeight="1" x14ac:dyDescent="0.3">
      <c r="A232" s="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5" customHeight="1" x14ac:dyDescent="0.3">
      <c r="A233" s="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5" customHeight="1" x14ac:dyDescent="0.3">
      <c r="A234" s="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5" customHeight="1" x14ac:dyDescent="0.3">
      <c r="A235" s="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5" customHeight="1" x14ac:dyDescent="0.3">
      <c r="A236" s="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5" customHeight="1" x14ac:dyDescent="0.3">
      <c r="A237" s="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5" customHeight="1" x14ac:dyDescent="0.3">
      <c r="A238" s="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5" customHeight="1" x14ac:dyDescent="0.3">
      <c r="A239" s="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5" customHeight="1" x14ac:dyDescent="0.3">
      <c r="A240" s="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5" customHeight="1" x14ac:dyDescent="0.3">
      <c r="A241" s="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5" customHeight="1" x14ac:dyDescent="0.3">
      <c r="A242" s="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5" customHeight="1" x14ac:dyDescent="0.3">
      <c r="A243" s="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5" customHeight="1" x14ac:dyDescent="0.3">
      <c r="A244" s="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5" customHeight="1" x14ac:dyDescent="0.3">
      <c r="A245" s="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5" customHeight="1" x14ac:dyDescent="0.3">
      <c r="A246" s="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5" customHeight="1" x14ac:dyDescent="0.3">
      <c r="A247" s="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5" customHeight="1" x14ac:dyDescent="0.3">
      <c r="A248" s="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5" customHeight="1" x14ac:dyDescent="0.3">
      <c r="A249" s="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5" customHeight="1" x14ac:dyDescent="0.3">
      <c r="A250" s="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5" customHeight="1" x14ac:dyDescent="0.3">
      <c r="A251" s="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5" customHeight="1" x14ac:dyDescent="0.3">
      <c r="A252" s="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5" customHeight="1" x14ac:dyDescent="0.3">
      <c r="A253" s="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5" customHeight="1" x14ac:dyDescent="0.3">
      <c r="A254" s="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5" customHeight="1" x14ac:dyDescent="0.3">
      <c r="A255" s="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5" customHeight="1" x14ac:dyDescent="0.3">
      <c r="A256" s="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5" customHeight="1" x14ac:dyDescent="0.3">
      <c r="A257" s="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5" customHeight="1" x14ac:dyDescent="0.3">
      <c r="A258" s="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5" customHeight="1" x14ac:dyDescent="0.3">
      <c r="A259" s="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5" customHeight="1" x14ac:dyDescent="0.3">
      <c r="A260" s="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5" customHeight="1" x14ac:dyDescent="0.3">
      <c r="A261" s="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5" customHeight="1" x14ac:dyDescent="0.3">
      <c r="A262" s="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5" customHeight="1" x14ac:dyDescent="0.3">
      <c r="A263" s="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5" customHeight="1" x14ac:dyDescent="0.3">
      <c r="A264" s="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5" customHeight="1" x14ac:dyDescent="0.3">
      <c r="A265" s="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5" customHeight="1" x14ac:dyDescent="0.3">
      <c r="A266" s="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5" customHeight="1" x14ac:dyDescent="0.3">
      <c r="A267" s="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5" customHeight="1" x14ac:dyDescent="0.3">
      <c r="A268" s="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5" customHeight="1" x14ac:dyDescent="0.3">
      <c r="A269" s="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5" customHeight="1" x14ac:dyDescent="0.3">
      <c r="A270" s="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5" customHeight="1" x14ac:dyDescent="0.3">
      <c r="A271" s="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5" customHeight="1" x14ac:dyDescent="0.3">
      <c r="A272" s="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5" customHeight="1" x14ac:dyDescent="0.3">
      <c r="A273" s="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5" customHeight="1" x14ac:dyDescent="0.3">
      <c r="A274" s="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5" customHeight="1" x14ac:dyDescent="0.3">
      <c r="A275" s="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5" customHeight="1" x14ac:dyDescent="0.3">
      <c r="A276" s="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5" customHeight="1" x14ac:dyDescent="0.3">
      <c r="A277" s="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5" customHeight="1" x14ac:dyDescent="0.3">
      <c r="A278" s="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5" customHeight="1" x14ac:dyDescent="0.3">
      <c r="A279" s="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5" customHeight="1" x14ac:dyDescent="0.3">
      <c r="A280" s="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5" customHeight="1" x14ac:dyDescent="0.3">
      <c r="A281" s="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5" customHeight="1" x14ac:dyDescent="0.3">
      <c r="A282" s="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5" customHeight="1" x14ac:dyDescent="0.3">
      <c r="A283" s="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5" customHeight="1" x14ac:dyDescent="0.3">
      <c r="A284" s="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5" customHeight="1" x14ac:dyDescent="0.3">
      <c r="A285" s="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5" customHeight="1" x14ac:dyDescent="0.3">
      <c r="A286" s="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5" customHeight="1" x14ac:dyDescent="0.3">
      <c r="A287" s="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5" customHeight="1" x14ac:dyDescent="0.3">
      <c r="A288" s="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5" customHeight="1" x14ac:dyDescent="0.3">
      <c r="A289" s="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5" customHeight="1" x14ac:dyDescent="0.3">
      <c r="A290" s="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5" customHeight="1" x14ac:dyDescent="0.3">
      <c r="A291" s="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5" customHeight="1" x14ac:dyDescent="0.3">
      <c r="A292" s="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5" customHeight="1" x14ac:dyDescent="0.3">
      <c r="A293" s="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5" customHeight="1" x14ac:dyDescent="0.3">
      <c r="A294" s="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5" customHeight="1" x14ac:dyDescent="0.3">
      <c r="A295" s="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5" customHeight="1" x14ac:dyDescent="0.3">
      <c r="A296" s="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5" customHeight="1" x14ac:dyDescent="0.3">
      <c r="A297" s="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5" customHeight="1" x14ac:dyDescent="0.3">
      <c r="A298" s="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5" customHeight="1" x14ac:dyDescent="0.3">
      <c r="A299" s="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5" customHeight="1" x14ac:dyDescent="0.3">
      <c r="A300" s="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5" customHeight="1" x14ac:dyDescent="0.3">
      <c r="A301" s="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5" customHeight="1" x14ac:dyDescent="0.3">
      <c r="A302" s="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5" customHeight="1" x14ac:dyDescent="0.3">
      <c r="A303" s="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5" customHeight="1" x14ac:dyDescent="0.3">
      <c r="A304" s="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5" customHeight="1" x14ac:dyDescent="0.3">
      <c r="A305" s="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5" customHeight="1" x14ac:dyDescent="0.3">
      <c r="A306" s="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5" customHeight="1" x14ac:dyDescent="0.3">
      <c r="A307" s="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5" customHeight="1" x14ac:dyDescent="0.3">
      <c r="A308" s="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5" customHeight="1" x14ac:dyDescent="0.3">
      <c r="A309" s="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5" customHeight="1" x14ac:dyDescent="0.3">
      <c r="A310" s="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5" customHeight="1" x14ac:dyDescent="0.3">
      <c r="A311" s="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5" customHeight="1" x14ac:dyDescent="0.3">
      <c r="A312" s="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5" customHeight="1" x14ac:dyDescent="0.3">
      <c r="A313" s="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5" customHeight="1" x14ac:dyDescent="0.3">
      <c r="A314" s="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5" customHeight="1" x14ac:dyDescent="0.3">
      <c r="A315" s="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5" customHeight="1" x14ac:dyDescent="0.3">
      <c r="A316" s="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5" customHeight="1" x14ac:dyDescent="0.3">
      <c r="A317" s="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5" customHeight="1" x14ac:dyDescent="0.3">
      <c r="A318" s="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5" customHeight="1" x14ac:dyDescent="0.3">
      <c r="A319" s="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5" customHeight="1" x14ac:dyDescent="0.3">
      <c r="A320" s="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5" customHeight="1" x14ac:dyDescent="0.3">
      <c r="A321" s="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5" customHeight="1" x14ac:dyDescent="0.3">
      <c r="A322" s="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5" customHeight="1" x14ac:dyDescent="0.3">
      <c r="A323" s="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5" customHeight="1" x14ac:dyDescent="0.3">
      <c r="A324" s="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5" customHeight="1" x14ac:dyDescent="0.3">
      <c r="A325" s="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5" customHeight="1" x14ac:dyDescent="0.3">
      <c r="A326" s="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5" customHeight="1" x14ac:dyDescent="0.3">
      <c r="A327" s="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5" customHeight="1" x14ac:dyDescent="0.3">
      <c r="A328" s="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5" customHeight="1" x14ac:dyDescent="0.3">
      <c r="A329" s="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5" customHeight="1" x14ac:dyDescent="0.3">
      <c r="A330" s="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5" customHeight="1" x14ac:dyDescent="0.3">
      <c r="A331" s="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5" customHeight="1" x14ac:dyDescent="0.3">
      <c r="A332" s="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5" customHeight="1" x14ac:dyDescent="0.3">
      <c r="A333" s="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5" customHeight="1" x14ac:dyDescent="0.3">
      <c r="A334" s="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5" customHeight="1" x14ac:dyDescent="0.3">
      <c r="A335" s="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5" customHeight="1" x14ac:dyDescent="0.3">
      <c r="A336" s="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5" customHeight="1" x14ac:dyDescent="0.3">
      <c r="A337" s="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5" customHeight="1" x14ac:dyDescent="0.3">
      <c r="A338" s="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5" customHeight="1" x14ac:dyDescent="0.3">
      <c r="A339" s="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5" customHeight="1" x14ac:dyDescent="0.3">
      <c r="A340" s="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5" customHeight="1" x14ac:dyDescent="0.3">
      <c r="A341" s="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5" customHeight="1" x14ac:dyDescent="0.3">
      <c r="A342" s="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5" customHeight="1" x14ac:dyDescent="0.3">
      <c r="A343" s="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5" customHeight="1" x14ac:dyDescent="0.3">
      <c r="A344" s="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5" customHeight="1" x14ac:dyDescent="0.3">
      <c r="A345" s="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5" customHeight="1" x14ac:dyDescent="0.3">
      <c r="A346" s="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5" customHeight="1" x14ac:dyDescent="0.3">
      <c r="A347" s="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5" customHeight="1" x14ac:dyDescent="0.3">
      <c r="A348" s="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5" customHeight="1" x14ac:dyDescent="0.3">
      <c r="A349" s="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5" customHeight="1" x14ac:dyDescent="0.3">
      <c r="A350" s="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5" customHeight="1" x14ac:dyDescent="0.3">
      <c r="A351" s="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5" customHeight="1" x14ac:dyDescent="0.3">
      <c r="A352" s="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5" customHeight="1" x14ac:dyDescent="0.3">
      <c r="A353" s="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5" customHeight="1" x14ac:dyDescent="0.3">
      <c r="A354" s="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5" customHeight="1" x14ac:dyDescent="0.3">
      <c r="A355" s="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5" customHeight="1" x14ac:dyDescent="0.3">
      <c r="A356" s="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5" customHeight="1" x14ac:dyDescent="0.3">
      <c r="A357" s="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5" customHeight="1" x14ac:dyDescent="0.3">
      <c r="A358" s="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5" customHeight="1" x14ac:dyDescent="0.3">
      <c r="A359" s="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5" customHeight="1" x14ac:dyDescent="0.3">
      <c r="A360" s="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5" customHeight="1" x14ac:dyDescent="0.3">
      <c r="A361" s="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5" customHeight="1" x14ac:dyDescent="0.3">
      <c r="A362" s="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5" customHeight="1" x14ac:dyDescent="0.3">
      <c r="A363" s="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5" customHeight="1" x14ac:dyDescent="0.3">
      <c r="A364" s="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5" customHeight="1" x14ac:dyDescent="0.3">
      <c r="A365" s="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5" customHeight="1" x14ac:dyDescent="0.3">
      <c r="A366" s="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5" customHeight="1" x14ac:dyDescent="0.3">
      <c r="A367" s="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5" customHeight="1" x14ac:dyDescent="0.3">
      <c r="A368" s="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5" customHeight="1" x14ac:dyDescent="0.3">
      <c r="A369" s="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5" customHeight="1" x14ac:dyDescent="0.3">
      <c r="A370" s="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5" customHeight="1" x14ac:dyDescent="0.3">
      <c r="A371" s="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5" customHeight="1" x14ac:dyDescent="0.3">
      <c r="A372" s="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5" customHeight="1" x14ac:dyDescent="0.3">
      <c r="A373" s="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5" customHeight="1" x14ac:dyDescent="0.3">
      <c r="A374" s="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5" customHeight="1" x14ac:dyDescent="0.3">
      <c r="A375" s="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5" customHeight="1" x14ac:dyDescent="0.3">
      <c r="A376" s="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5" customHeight="1" x14ac:dyDescent="0.3">
      <c r="A377" s="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5" customHeight="1" x14ac:dyDescent="0.3">
      <c r="A378" s="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5" customHeight="1" x14ac:dyDescent="0.3">
      <c r="A379" s="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5" customHeight="1" x14ac:dyDescent="0.3">
      <c r="A380" s="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5" customHeight="1" x14ac:dyDescent="0.3">
      <c r="A381" s="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5" customHeight="1" x14ac:dyDescent="0.3">
      <c r="A382" s="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5" customHeight="1" x14ac:dyDescent="0.3">
      <c r="A383" s="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5" customHeight="1" x14ac:dyDescent="0.3">
      <c r="A384" s="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5" customHeight="1" x14ac:dyDescent="0.3">
      <c r="A385" s="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5" customHeight="1" x14ac:dyDescent="0.3">
      <c r="A386" s="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5" customHeight="1" x14ac:dyDescent="0.3">
      <c r="A387" s="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5" customHeight="1" x14ac:dyDescent="0.3">
      <c r="A388" s="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5" customHeight="1" x14ac:dyDescent="0.3">
      <c r="A389" s="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5" customHeight="1" x14ac:dyDescent="0.3">
      <c r="A390" s="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5" customHeight="1" x14ac:dyDescent="0.3">
      <c r="A391" s="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5" customHeight="1" x14ac:dyDescent="0.3">
      <c r="A392" s="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5" customHeight="1" x14ac:dyDescent="0.3">
      <c r="A393" s="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5" customHeight="1" x14ac:dyDescent="0.3">
      <c r="A394" s="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5" customHeight="1" x14ac:dyDescent="0.3">
      <c r="A395" s="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5" customHeight="1" x14ac:dyDescent="0.3">
      <c r="A396" s="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5" customHeight="1" x14ac:dyDescent="0.3">
      <c r="A397" s="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5" customHeight="1" x14ac:dyDescent="0.3">
      <c r="A398" s="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5" customHeight="1" x14ac:dyDescent="0.3">
      <c r="A399" s="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5" customHeight="1" x14ac:dyDescent="0.3">
      <c r="A400" s="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5" customHeight="1" x14ac:dyDescent="0.3">
      <c r="A401" s="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5" customHeight="1" x14ac:dyDescent="0.3">
      <c r="A402" s="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5" customHeight="1" x14ac:dyDescent="0.3">
      <c r="A403" s="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5" customHeight="1" x14ac:dyDescent="0.3">
      <c r="A404" s="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5" customHeight="1" x14ac:dyDescent="0.3">
      <c r="A405" s="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5" customHeight="1" x14ac:dyDescent="0.3">
      <c r="A406" s="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5" customHeight="1" x14ac:dyDescent="0.3">
      <c r="A407" s="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5" customHeight="1" x14ac:dyDescent="0.3">
      <c r="A408" s="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5" customHeight="1" x14ac:dyDescent="0.3">
      <c r="A409" s="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5" customHeight="1" x14ac:dyDescent="0.3">
      <c r="A410" s="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5" customHeight="1" x14ac:dyDescent="0.3">
      <c r="A411" s="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5" customHeight="1" x14ac:dyDescent="0.3">
      <c r="A412" s="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5" customHeight="1" x14ac:dyDescent="0.3">
      <c r="A413" s="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5" customHeight="1" x14ac:dyDescent="0.3">
      <c r="A414" s="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5" customHeight="1" x14ac:dyDescent="0.3">
      <c r="A415" s="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5" customHeight="1" x14ac:dyDescent="0.3">
      <c r="A416" s="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5" customHeight="1" x14ac:dyDescent="0.3">
      <c r="A417" s="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5" customHeight="1" x14ac:dyDescent="0.3">
      <c r="A418" s="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5" customHeight="1" x14ac:dyDescent="0.3">
      <c r="A419" s="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5" customHeight="1" x14ac:dyDescent="0.3">
      <c r="A420" s="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5" customHeight="1" x14ac:dyDescent="0.3">
      <c r="A421" s="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5" customHeight="1" x14ac:dyDescent="0.3">
      <c r="A422" s="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5" customHeight="1" x14ac:dyDescent="0.3">
      <c r="A423" s="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5" customHeight="1" x14ac:dyDescent="0.3">
      <c r="A424" s="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5" customHeight="1" x14ac:dyDescent="0.3">
      <c r="A425" s="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5" customHeight="1" x14ac:dyDescent="0.3">
      <c r="A426" s="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5" customHeight="1" x14ac:dyDescent="0.3">
      <c r="A427" s="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5" customHeight="1" x14ac:dyDescent="0.3">
      <c r="A428" s="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5" customHeight="1" x14ac:dyDescent="0.3">
      <c r="A429" s="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5" customHeight="1" x14ac:dyDescent="0.3">
      <c r="A430" s="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5" customHeight="1" x14ac:dyDescent="0.3">
      <c r="A431" s="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5" customHeight="1" x14ac:dyDescent="0.3">
      <c r="A432" s="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5" customHeight="1" x14ac:dyDescent="0.3">
      <c r="A433" s="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5" customHeight="1" x14ac:dyDescent="0.3">
      <c r="A434" s="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 x14ac:dyDescent="0.3">
      <c r="A435" s="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 x14ac:dyDescent="0.3">
      <c r="A436" s="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 x14ac:dyDescent="0.3">
      <c r="A437" s="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 x14ac:dyDescent="0.3">
      <c r="A438" s="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 x14ac:dyDescent="0.3">
      <c r="A439" s="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 x14ac:dyDescent="0.3">
      <c r="A440" s="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 x14ac:dyDescent="0.3">
      <c r="A441" s="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 x14ac:dyDescent="0.3">
      <c r="A442" s="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 x14ac:dyDescent="0.3">
      <c r="A443" s="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 x14ac:dyDescent="0.3">
      <c r="A444" s="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 x14ac:dyDescent="0.3">
      <c r="A445" s="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 x14ac:dyDescent="0.3">
      <c r="A446" s="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 x14ac:dyDescent="0.3">
      <c r="A447" s="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 x14ac:dyDescent="0.3">
      <c r="A448" s="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 x14ac:dyDescent="0.3">
      <c r="A449" s="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 x14ac:dyDescent="0.3">
      <c r="A450" s="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 x14ac:dyDescent="0.3">
      <c r="A451" s="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 x14ac:dyDescent="0.3">
      <c r="A452" s="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 x14ac:dyDescent="0.3">
      <c r="A453" s="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 x14ac:dyDescent="0.3">
      <c r="A454" s="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 x14ac:dyDescent="0.3">
      <c r="A455" s="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 x14ac:dyDescent="0.3">
      <c r="A456" s="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 x14ac:dyDescent="0.3">
      <c r="A457" s="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 x14ac:dyDescent="0.3">
      <c r="A458" s="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 x14ac:dyDescent="0.3">
      <c r="A459" s="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 x14ac:dyDescent="0.3">
      <c r="A460" s="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 x14ac:dyDescent="0.3">
      <c r="A461" s="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 x14ac:dyDescent="0.3">
      <c r="A462" s="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 x14ac:dyDescent="0.3">
      <c r="A463" s="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 x14ac:dyDescent="0.3">
      <c r="A464" s="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 x14ac:dyDescent="0.3">
      <c r="A465" s="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 x14ac:dyDescent="0.3">
      <c r="A466" s="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 x14ac:dyDescent="0.3">
      <c r="A467" s="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 x14ac:dyDescent="0.3">
      <c r="A468" s="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 x14ac:dyDescent="0.3">
      <c r="A469" s="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 x14ac:dyDescent="0.3">
      <c r="A470" s="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 x14ac:dyDescent="0.3">
      <c r="A471" s="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 x14ac:dyDescent="0.3">
      <c r="A472" s="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 x14ac:dyDescent="0.3">
      <c r="A473" s="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 x14ac:dyDescent="0.3">
      <c r="A474" s="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 x14ac:dyDescent="0.3">
      <c r="A475" s="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 x14ac:dyDescent="0.3">
      <c r="A476" s="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 x14ac:dyDescent="0.3">
      <c r="A477" s="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 x14ac:dyDescent="0.3">
      <c r="A478" s="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 x14ac:dyDescent="0.3">
      <c r="A479" s="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 x14ac:dyDescent="0.3">
      <c r="A480" s="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 x14ac:dyDescent="0.3">
      <c r="A481" s="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 x14ac:dyDescent="0.3">
      <c r="A482" s="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5" customHeight="1" x14ac:dyDescent="0.3">
      <c r="A483" s="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5" customHeight="1" x14ac:dyDescent="0.3">
      <c r="A484" s="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5" customHeight="1" x14ac:dyDescent="0.3">
      <c r="A485" s="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5" customHeight="1" x14ac:dyDescent="0.3">
      <c r="A486" s="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5" customHeight="1" x14ac:dyDescent="0.3">
      <c r="A487" s="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5" customHeight="1" x14ac:dyDescent="0.3">
      <c r="A488" s="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5" customHeight="1" x14ac:dyDescent="0.3">
      <c r="A489" s="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5" customHeight="1" x14ac:dyDescent="0.3">
      <c r="A490" s="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5" customHeight="1" x14ac:dyDescent="0.3">
      <c r="A491" s="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5" customHeight="1" x14ac:dyDescent="0.3">
      <c r="A492" s="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5" customHeight="1" x14ac:dyDescent="0.3">
      <c r="A493" s="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5" customHeight="1" x14ac:dyDescent="0.3">
      <c r="A494" s="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5" customHeight="1" x14ac:dyDescent="0.3">
      <c r="A495" s="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5" customHeight="1" x14ac:dyDescent="0.3">
      <c r="A496" s="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5" customHeight="1" x14ac:dyDescent="0.3">
      <c r="A497" s="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5" customHeight="1" x14ac:dyDescent="0.3">
      <c r="A498" s="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5" customHeight="1" x14ac:dyDescent="0.3">
      <c r="A499" s="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5" customHeight="1" x14ac:dyDescent="0.3">
      <c r="A500" s="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5" customHeight="1" x14ac:dyDescent="0.3">
      <c r="A501" s="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5" customHeight="1" x14ac:dyDescent="0.3">
      <c r="A502" s="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5" customHeight="1" x14ac:dyDescent="0.3">
      <c r="A503" s="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5" customHeight="1" x14ac:dyDescent="0.3">
      <c r="A504" s="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5" customHeight="1" x14ac:dyDescent="0.3">
      <c r="A505" s="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5" customHeight="1" x14ac:dyDescent="0.3">
      <c r="A506" s="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5" customHeight="1" x14ac:dyDescent="0.3">
      <c r="A507" s="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5" customHeight="1" x14ac:dyDescent="0.3">
      <c r="A508" s="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5" customHeight="1" x14ac:dyDescent="0.3">
      <c r="A509" s="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5" customHeight="1" x14ac:dyDescent="0.3">
      <c r="A510" s="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5" customHeight="1" x14ac:dyDescent="0.3">
      <c r="A511" s="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5" customHeight="1" x14ac:dyDescent="0.3">
      <c r="A512" s="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5" customHeight="1" x14ac:dyDescent="0.3">
      <c r="A513" s="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5" customHeight="1" x14ac:dyDescent="0.3">
      <c r="A514" s="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5" customHeight="1" x14ac:dyDescent="0.3">
      <c r="A515" s="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5" customHeight="1" x14ac:dyDescent="0.3">
      <c r="A516" s="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5" customHeight="1" x14ac:dyDescent="0.3">
      <c r="A517" s="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5" customHeight="1" x14ac:dyDescent="0.3">
      <c r="A518" s="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5" customHeight="1" x14ac:dyDescent="0.3">
      <c r="A519" s="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5" customHeight="1" x14ac:dyDescent="0.3">
      <c r="A520" s="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5" customHeight="1" x14ac:dyDescent="0.3">
      <c r="A521" s="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5" customHeight="1" x14ac:dyDescent="0.3">
      <c r="A522" s="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5" customHeight="1" x14ac:dyDescent="0.3">
      <c r="A523" s="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5" customHeight="1" x14ac:dyDescent="0.3">
      <c r="A524" s="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5" customHeight="1" x14ac:dyDescent="0.3">
      <c r="A525" s="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5" customHeight="1" x14ac:dyDescent="0.3">
      <c r="A526" s="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5" customHeight="1" x14ac:dyDescent="0.3">
      <c r="A527" s="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5" customHeight="1" x14ac:dyDescent="0.3">
      <c r="A528" s="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5" customHeight="1" x14ac:dyDescent="0.3">
      <c r="A529" s="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5" customHeight="1" x14ac:dyDescent="0.3">
      <c r="A530" s="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5" customHeight="1" x14ac:dyDescent="0.3">
      <c r="A531" s="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5" customHeight="1" x14ac:dyDescent="0.3">
      <c r="A532" s="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5" customHeight="1" x14ac:dyDescent="0.3">
      <c r="A533" s="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5" customHeight="1" x14ac:dyDescent="0.3">
      <c r="A534" s="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5" customHeight="1" x14ac:dyDescent="0.3">
      <c r="A535" s="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5" customHeight="1" x14ac:dyDescent="0.3">
      <c r="A536" s="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5" customHeight="1" x14ac:dyDescent="0.3">
      <c r="A537" s="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5" customHeight="1" x14ac:dyDescent="0.3">
      <c r="A538" s="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5" customHeight="1" x14ac:dyDescent="0.3">
      <c r="A539" s="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5" customHeight="1" x14ac:dyDescent="0.3">
      <c r="A540" s="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5" customHeight="1" x14ac:dyDescent="0.3">
      <c r="A541" s="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5" customHeight="1" x14ac:dyDescent="0.3">
      <c r="A542" s="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5" customHeight="1" x14ac:dyDescent="0.3">
      <c r="A543" s="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5" customHeight="1" x14ac:dyDescent="0.3">
      <c r="A544" s="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5" customHeight="1" x14ac:dyDescent="0.3">
      <c r="A545" s="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5" customHeight="1" x14ac:dyDescent="0.3">
      <c r="A546" s="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5" customHeight="1" x14ac:dyDescent="0.3">
      <c r="A547" s="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5" customHeight="1" x14ac:dyDescent="0.3">
      <c r="A548" s="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5" customHeight="1" x14ac:dyDescent="0.3">
      <c r="A549" s="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5" customHeight="1" x14ac:dyDescent="0.3">
      <c r="A550" s="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5" customHeight="1" x14ac:dyDescent="0.3">
      <c r="A551" s="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5" customHeight="1" x14ac:dyDescent="0.3">
      <c r="A552" s="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5" customHeight="1" x14ac:dyDescent="0.3">
      <c r="A553" s="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5" customHeight="1" x14ac:dyDescent="0.3">
      <c r="A554" s="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5" customHeight="1" x14ac:dyDescent="0.3">
      <c r="A555" s="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5" customHeight="1" x14ac:dyDescent="0.3">
      <c r="A556" s="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5" customHeight="1" x14ac:dyDescent="0.3">
      <c r="A557" s="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5" customHeight="1" x14ac:dyDescent="0.3">
      <c r="A558" s="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5" customHeight="1" x14ac:dyDescent="0.3">
      <c r="A559" s="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5" customHeight="1" x14ac:dyDescent="0.3">
      <c r="A560" s="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5" customHeight="1" x14ac:dyDescent="0.3">
      <c r="A561" s="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5" customHeight="1" x14ac:dyDescent="0.3">
      <c r="A562" s="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5" customHeight="1" x14ac:dyDescent="0.3">
      <c r="A563" s="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5" customHeight="1" x14ac:dyDescent="0.3">
      <c r="A564" s="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5" customHeight="1" x14ac:dyDescent="0.3">
      <c r="A565" s="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5" customHeight="1" x14ac:dyDescent="0.3">
      <c r="A566" s="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5" customHeight="1" x14ac:dyDescent="0.3">
      <c r="A567" s="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5" customHeight="1" x14ac:dyDescent="0.3">
      <c r="A568" s="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5" customHeight="1" x14ac:dyDescent="0.3">
      <c r="A569" s="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5" customHeight="1" x14ac:dyDescent="0.3">
      <c r="A570" s="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5" customHeight="1" x14ac:dyDescent="0.3">
      <c r="A571" s="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5" customHeight="1" x14ac:dyDescent="0.3">
      <c r="A572" s="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5" customHeight="1" x14ac:dyDescent="0.3">
      <c r="A573" s="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5" customHeight="1" x14ac:dyDescent="0.3">
      <c r="A574" s="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5" customHeight="1" x14ac:dyDescent="0.3">
      <c r="A575" s="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5" customHeight="1" x14ac:dyDescent="0.3">
      <c r="A576" s="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5" customHeight="1" x14ac:dyDescent="0.3">
      <c r="A577" s="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5" customHeight="1" x14ac:dyDescent="0.3">
      <c r="A578" s="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5" customHeight="1" x14ac:dyDescent="0.3">
      <c r="A579" s="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5" customHeight="1" x14ac:dyDescent="0.3">
      <c r="A580" s="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5" customHeight="1" x14ac:dyDescent="0.3">
      <c r="A581" s="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5" customHeight="1" x14ac:dyDescent="0.3">
      <c r="A582" s="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5" customHeight="1" x14ac:dyDescent="0.3">
      <c r="A583" s="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5" customHeight="1" x14ac:dyDescent="0.3">
      <c r="A584" s="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5" customHeight="1" x14ac:dyDescent="0.3">
      <c r="A585" s="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5" customHeight="1" x14ac:dyDescent="0.3">
      <c r="A586" s="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5" customHeight="1" x14ac:dyDescent="0.3">
      <c r="A587" s="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5" customHeight="1" x14ac:dyDescent="0.3">
      <c r="A588" s="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5" customHeight="1" x14ac:dyDescent="0.3">
      <c r="A589" s="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5" customHeight="1" x14ac:dyDescent="0.3">
      <c r="A590" s="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5" customHeight="1" x14ac:dyDescent="0.3">
      <c r="A591" s="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5" customHeight="1" x14ac:dyDescent="0.3">
      <c r="A592" s="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5" customHeight="1" x14ac:dyDescent="0.3">
      <c r="A593" s="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5" customHeight="1" x14ac:dyDescent="0.3">
      <c r="A594" s="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5" customHeight="1" x14ac:dyDescent="0.3">
      <c r="A595" s="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5" customHeight="1" x14ac:dyDescent="0.3">
      <c r="A596" s="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5" customHeight="1" x14ac:dyDescent="0.3">
      <c r="A597" s="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5" customHeight="1" x14ac:dyDescent="0.3">
      <c r="A598" s="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5" customHeight="1" x14ac:dyDescent="0.3">
      <c r="A599" s="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5" customHeight="1" x14ac:dyDescent="0.3">
      <c r="A600" s="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5" customHeight="1" x14ac:dyDescent="0.3">
      <c r="A601" s="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5" customHeight="1" x14ac:dyDescent="0.3">
      <c r="A602" s="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5" customHeight="1" x14ac:dyDescent="0.3">
      <c r="A603" s="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5" customHeight="1" x14ac:dyDescent="0.3">
      <c r="A604" s="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5" customHeight="1" x14ac:dyDescent="0.3">
      <c r="A605" s="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5" customHeight="1" x14ac:dyDescent="0.3">
      <c r="A606" s="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5" customHeight="1" x14ac:dyDescent="0.3">
      <c r="A607" s="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5" customHeight="1" x14ac:dyDescent="0.3">
      <c r="A608" s="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5" customHeight="1" x14ac:dyDescent="0.3">
      <c r="A609" s="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5" customHeight="1" x14ac:dyDescent="0.3">
      <c r="A610" s="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5" customHeight="1" x14ac:dyDescent="0.3">
      <c r="A611" s="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5" customHeight="1" x14ac:dyDescent="0.3">
      <c r="A612" s="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5" customHeight="1" x14ac:dyDescent="0.3">
      <c r="A613" s="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5" customHeight="1" x14ac:dyDescent="0.3">
      <c r="A614" s="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5" customHeight="1" x14ac:dyDescent="0.3">
      <c r="A615" s="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5" customHeight="1" x14ac:dyDescent="0.3">
      <c r="A616" s="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5" customHeight="1" x14ac:dyDescent="0.3">
      <c r="A617" s="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5" customHeight="1" x14ac:dyDescent="0.3">
      <c r="A618" s="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5" customHeight="1" x14ac:dyDescent="0.3">
      <c r="A619" s="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5" customHeight="1" x14ac:dyDescent="0.3">
      <c r="A620" s="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5" customHeight="1" x14ac:dyDescent="0.3">
      <c r="A621" s="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5" customHeight="1" x14ac:dyDescent="0.3">
      <c r="A622" s="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5" customHeight="1" x14ac:dyDescent="0.3">
      <c r="A623" s="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5" customHeight="1" x14ac:dyDescent="0.3">
      <c r="A624" s="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5" customHeight="1" x14ac:dyDescent="0.3">
      <c r="A625" s="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5" customHeight="1" x14ac:dyDescent="0.3">
      <c r="A626" s="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5" customHeight="1" x14ac:dyDescent="0.3">
      <c r="A627" s="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5" customHeight="1" x14ac:dyDescent="0.3">
      <c r="A628" s="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5" customHeight="1" x14ac:dyDescent="0.3">
      <c r="A629" s="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5" customHeight="1" x14ac:dyDescent="0.3">
      <c r="A630" s="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5" customHeight="1" x14ac:dyDescent="0.3">
      <c r="A631" s="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5" customHeight="1" x14ac:dyDescent="0.3">
      <c r="A632" s="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5" customHeight="1" x14ac:dyDescent="0.3">
      <c r="A633" s="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5" customHeight="1" x14ac:dyDescent="0.3">
      <c r="A634" s="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5" customHeight="1" x14ac:dyDescent="0.3">
      <c r="A635" s="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5" customHeight="1" x14ac:dyDescent="0.3">
      <c r="A636" s="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5" customHeight="1" x14ac:dyDescent="0.3">
      <c r="A637" s="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5" customHeight="1" x14ac:dyDescent="0.3">
      <c r="A638" s="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5" customHeight="1" x14ac:dyDescent="0.3">
      <c r="A639" s="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5" customHeight="1" x14ac:dyDescent="0.3">
      <c r="A640" s="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5" customHeight="1" x14ac:dyDescent="0.3">
      <c r="A641" s="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5" customHeight="1" x14ac:dyDescent="0.3">
      <c r="A642" s="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5" customHeight="1" x14ac:dyDescent="0.3">
      <c r="A643" s="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5" customHeight="1" x14ac:dyDescent="0.3">
      <c r="A644" s="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5" customHeight="1" x14ac:dyDescent="0.3">
      <c r="A645" s="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5" customHeight="1" x14ac:dyDescent="0.3">
      <c r="A646" s="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5" customHeight="1" x14ac:dyDescent="0.3">
      <c r="A647" s="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5" customHeight="1" x14ac:dyDescent="0.3">
      <c r="A648" s="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5" customHeight="1" x14ac:dyDescent="0.3">
      <c r="A649" s="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5" customHeight="1" x14ac:dyDescent="0.3">
      <c r="A650" s="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5" customHeight="1" x14ac:dyDescent="0.3">
      <c r="A651" s="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5" customHeight="1" x14ac:dyDescent="0.3">
      <c r="A652" s="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5" customHeight="1" x14ac:dyDescent="0.3">
      <c r="A653" s="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5" customHeight="1" x14ac:dyDescent="0.3">
      <c r="A654" s="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5" customHeight="1" x14ac:dyDescent="0.3">
      <c r="A655" s="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5" customHeight="1" x14ac:dyDescent="0.3">
      <c r="A656" s="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5" customHeight="1" x14ac:dyDescent="0.3">
      <c r="A657" s="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5" customHeight="1" x14ac:dyDescent="0.3">
      <c r="A658" s="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5" customHeight="1" x14ac:dyDescent="0.3">
      <c r="A659" s="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5" customHeight="1" x14ac:dyDescent="0.3">
      <c r="A660" s="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5" customHeight="1" x14ac:dyDescent="0.3">
      <c r="A661" s="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5" customHeight="1" x14ac:dyDescent="0.3">
      <c r="A662" s="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5" customHeight="1" x14ac:dyDescent="0.3">
      <c r="A663" s="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5" customHeight="1" x14ac:dyDescent="0.3">
      <c r="A664" s="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5" customHeight="1" x14ac:dyDescent="0.3">
      <c r="A665" s="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5" customHeight="1" x14ac:dyDescent="0.3">
      <c r="A666" s="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5" customHeight="1" x14ac:dyDescent="0.3">
      <c r="A667" s="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5" customHeight="1" x14ac:dyDescent="0.3">
      <c r="A668" s="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5" customHeight="1" x14ac:dyDescent="0.3">
      <c r="A669" s="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5" customHeight="1" x14ac:dyDescent="0.3">
      <c r="A670" s="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5" customHeight="1" x14ac:dyDescent="0.3">
      <c r="A671" s="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5" customHeight="1" x14ac:dyDescent="0.3">
      <c r="A672" s="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5" customHeight="1" x14ac:dyDescent="0.3">
      <c r="A673" s="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5" customHeight="1" x14ac:dyDescent="0.3">
      <c r="A674" s="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5" customHeight="1" x14ac:dyDescent="0.3">
      <c r="A675" s="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5" customHeight="1" x14ac:dyDescent="0.3">
      <c r="A676" s="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5" customHeight="1" x14ac:dyDescent="0.3">
      <c r="A677" s="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5" customHeight="1" x14ac:dyDescent="0.3">
      <c r="A678" s="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5" customHeight="1" x14ac:dyDescent="0.3">
      <c r="A679" s="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5" customHeight="1" x14ac:dyDescent="0.3">
      <c r="A680" s="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5" customHeight="1" x14ac:dyDescent="0.3">
      <c r="A681" s="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5" customHeight="1" x14ac:dyDescent="0.3">
      <c r="A682" s="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5" customHeight="1" x14ac:dyDescent="0.3">
      <c r="A683" s="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5" customHeight="1" x14ac:dyDescent="0.3">
      <c r="A684" s="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5" customHeight="1" x14ac:dyDescent="0.3">
      <c r="A685" s="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5" customHeight="1" x14ac:dyDescent="0.3">
      <c r="A686" s="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5" customHeight="1" x14ac:dyDescent="0.3">
      <c r="A687" s="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5" customHeight="1" x14ac:dyDescent="0.3">
      <c r="A688" s="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5" customHeight="1" x14ac:dyDescent="0.3">
      <c r="A689" s="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5" customHeight="1" x14ac:dyDescent="0.3">
      <c r="A690" s="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5" customHeight="1" x14ac:dyDescent="0.3">
      <c r="A691" s="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5" customHeight="1" x14ac:dyDescent="0.3">
      <c r="A692" s="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5" customHeight="1" x14ac:dyDescent="0.3">
      <c r="A693" s="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5" customHeight="1" x14ac:dyDescent="0.3">
      <c r="A694" s="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5" customHeight="1" x14ac:dyDescent="0.3">
      <c r="A695" s="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5" customHeight="1" x14ac:dyDescent="0.3">
      <c r="A696" s="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5" customHeight="1" x14ac:dyDescent="0.3">
      <c r="A697" s="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5" customHeight="1" x14ac:dyDescent="0.3">
      <c r="A698" s="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5" customHeight="1" x14ac:dyDescent="0.3">
      <c r="A699" s="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5" customHeight="1" x14ac:dyDescent="0.3">
      <c r="A700" s="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5" customHeight="1" x14ac:dyDescent="0.3">
      <c r="A701" s="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5" customHeight="1" x14ac:dyDescent="0.3">
      <c r="A702" s="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5" customHeight="1" x14ac:dyDescent="0.3">
      <c r="A703" s="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5" customHeight="1" x14ac:dyDescent="0.3">
      <c r="A704" s="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5" customHeight="1" x14ac:dyDescent="0.3">
      <c r="A705" s="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5" customHeight="1" x14ac:dyDescent="0.3">
      <c r="A706" s="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5" customHeight="1" x14ac:dyDescent="0.3">
      <c r="A707" s="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5" customHeight="1" x14ac:dyDescent="0.3">
      <c r="A708" s="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5" customHeight="1" x14ac:dyDescent="0.3">
      <c r="A709" s="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5" customHeight="1" x14ac:dyDescent="0.3">
      <c r="A710" s="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5" customHeight="1" x14ac:dyDescent="0.3">
      <c r="A711" s="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5" customHeight="1" x14ac:dyDescent="0.3">
      <c r="A712" s="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5" customHeight="1" x14ac:dyDescent="0.3">
      <c r="A713" s="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5" customHeight="1" x14ac:dyDescent="0.3">
      <c r="A714" s="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5" customHeight="1" x14ac:dyDescent="0.3">
      <c r="A715" s="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5" customHeight="1" x14ac:dyDescent="0.3">
      <c r="A716" s="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5" customHeight="1" x14ac:dyDescent="0.3">
      <c r="A717" s="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5" customHeight="1" x14ac:dyDescent="0.3">
      <c r="A718" s="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5" customHeight="1" x14ac:dyDescent="0.3">
      <c r="A719" s="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5" customHeight="1" x14ac:dyDescent="0.3">
      <c r="A720" s="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5" customHeight="1" x14ac:dyDescent="0.3">
      <c r="A721" s="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5" customHeight="1" x14ac:dyDescent="0.3">
      <c r="A722" s="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5" customHeight="1" x14ac:dyDescent="0.3">
      <c r="A723" s="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5" customHeight="1" x14ac:dyDescent="0.3">
      <c r="A724" s="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5" customHeight="1" x14ac:dyDescent="0.3">
      <c r="A725" s="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5" customHeight="1" x14ac:dyDescent="0.3">
      <c r="A726" s="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5" customHeight="1" x14ac:dyDescent="0.3">
      <c r="A727" s="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5" customHeight="1" x14ac:dyDescent="0.3">
      <c r="A728" s="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5" customHeight="1" x14ac:dyDescent="0.3">
      <c r="A729" s="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5" customHeight="1" x14ac:dyDescent="0.3">
      <c r="A730" s="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5" customHeight="1" x14ac:dyDescent="0.3">
      <c r="A731" s="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5" customHeight="1" x14ac:dyDescent="0.3">
      <c r="A732" s="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5" customHeight="1" x14ac:dyDescent="0.3">
      <c r="A733" s="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5" customHeight="1" x14ac:dyDescent="0.3">
      <c r="A734" s="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5" customHeight="1" x14ac:dyDescent="0.3">
      <c r="A735" s="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5" customHeight="1" x14ac:dyDescent="0.3">
      <c r="A736" s="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5" customHeight="1" x14ac:dyDescent="0.3">
      <c r="A737" s="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5" customHeight="1" x14ac:dyDescent="0.3">
      <c r="A738" s="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5" customHeight="1" x14ac:dyDescent="0.3">
      <c r="A739" s="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5" customHeight="1" x14ac:dyDescent="0.3">
      <c r="A740" s="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5" customHeight="1" x14ac:dyDescent="0.3">
      <c r="A741" s="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5" customHeight="1" x14ac:dyDescent="0.3">
      <c r="A742" s="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5" customHeight="1" x14ac:dyDescent="0.3">
      <c r="A743" s="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5" customHeight="1" x14ac:dyDescent="0.3">
      <c r="A744" s="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5" customHeight="1" x14ac:dyDescent="0.3">
      <c r="A745" s="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5" customHeight="1" x14ac:dyDescent="0.3">
      <c r="A746" s="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5" customHeight="1" x14ac:dyDescent="0.3">
      <c r="A747" s="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5" customHeight="1" x14ac:dyDescent="0.3">
      <c r="A748" s="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5" customHeight="1" x14ac:dyDescent="0.3">
      <c r="A749" s="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5" customHeight="1" x14ac:dyDescent="0.3">
      <c r="A750" s="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5" customHeight="1" x14ac:dyDescent="0.3">
      <c r="A751" s="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5" customHeight="1" x14ac:dyDescent="0.3">
      <c r="A752" s="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5" customHeight="1" x14ac:dyDescent="0.3">
      <c r="A753" s="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5" customHeight="1" x14ac:dyDescent="0.3">
      <c r="A754" s="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5" customHeight="1" x14ac:dyDescent="0.3">
      <c r="A755" s="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5" customHeight="1" x14ac:dyDescent="0.3">
      <c r="A756" s="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5" customHeight="1" x14ac:dyDescent="0.3">
      <c r="A757" s="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5" customHeight="1" x14ac:dyDescent="0.3">
      <c r="A758" s="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5" customHeight="1" x14ac:dyDescent="0.3">
      <c r="A759" s="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5" customHeight="1" x14ac:dyDescent="0.3">
      <c r="A760" s="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5" customHeight="1" x14ac:dyDescent="0.3">
      <c r="A761" s="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5" customHeight="1" x14ac:dyDescent="0.3">
      <c r="A762" s="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5" customHeight="1" x14ac:dyDescent="0.3">
      <c r="A763" s="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5" customHeight="1" x14ac:dyDescent="0.3">
      <c r="A764" s="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5" customHeight="1" x14ac:dyDescent="0.3">
      <c r="A765" s="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5" customHeight="1" x14ac:dyDescent="0.3">
      <c r="A766" s="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5" customHeight="1" x14ac:dyDescent="0.3">
      <c r="A767" s="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5" customHeight="1" x14ac:dyDescent="0.3">
      <c r="A768" s="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5" customHeight="1" x14ac:dyDescent="0.3">
      <c r="A769" s="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5" customHeight="1" x14ac:dyDescent="0.3">
      <c r="A770" s="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5" customHeight="1" x14ac:dyDescent="0.3">
      <c r="A771" s="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5" customHeight="1" x14ac:dyDescent="0.3">
      <c r="A772" s="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5" customHeight="1" x14ac:dyDescent="0.3">
      <c r="A773" s="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5" customHeight="1" x14ac:dyDescent="0.3">
      <c r="A774" s="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5" customHeight="1" x14ac:dyDescent="0.3">
      <c r="A775" s="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5" customHeight="1" x14ac:dyDescent="0.3">
      <c r="A776" s="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5" customHeight="1" x14ac:dyDescent="0.3">
      <c r="A777" s="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5" customHeight="1" x14ac:dyDescent="0.3">
      <c r="A778" s="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5" customHeight="1" x14ac:dyDescent="0.3">
      <c r="A779" s="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5" customHeight="1" x14ac:dyDescent="0.3">
      <c r="A780" s="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5" customHeight="1" x14ac:dyDescent="0.3">
      <c r="A781" s="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5" customHeight="1" x14ac:dyDescent="0.3">
      <c r="A782" s="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5" customHeight="1" x14ac:dyDescent="0.3">
      <c r="A783" s="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5" customHeight="1" x14ac:dyDescent="0.3">
      <c r="A784" s="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5" customHeight="1" x14ac:dyDescent="0.3">
      <c r="A785" s="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5" customHeight="1" x14ac:dyDescent="0.3">
      <c r="A786" s="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5" customHeight="1" x14ac:dyDescent="0.3">
      <c r="A787" s="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5" customHeight="1" x14ac:dyDescent="0.3">
      <c r="A788" s="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5" customHeight="1" x14ac:dyDescent="0.3">
      <c r="A789" s="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5" customHeight="1" x14ac:dyDescent="0.3">
      <c r="A790" s="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5" customHeight="1" x14ac:dyDescent="0.3">
      <c r="A791" s="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5" customHeight="1" x14ac:dyDescent="0.3">
      <c r="A792" s="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5" customHeight="1" x14ac:dyDescent="0.3">
      <c r="A793" s="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5" customHeight="1" x14ac:dyDescent="0.3">
      <c r="A794" s="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5" customHeight="1" x14ac:dyDescent="0.3">
      <c r="A795" s="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5" customHeight="1" x14ac:dyDescent="0.3">
      <c r="A796" s="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5" customHeight="1" x14ac:dyDescent="0.3">
      <c r="A797" s="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5" customHeight="1" x14ac:dyDescent="0.3">
      <c r="A798" s="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5" customHeight="1" x14ac:dyDescent="0.3">
      <c r="A799" s="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5" customHeight="1" x14ac:dyDescent="0.3">
      <c r="A800" s="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5" customHeight="1" x14ac:dyDescent="0.3">
      <c r="A801" s="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5" customHeight="1" x14ac:dyDescent="0.3">
      <c r="A802" s="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5" customHeight="1" x14ac:dyDescent="0.3">
      <c r="A803" s="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5" customHeight="1" x14ac:dyDescent="0.3">
      <c r="A804" s="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5" customHeight="1" x14ac:dyDescent="0.3">
      <c r="A805" s="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5" customHeight="1" x14ac:dyDescent="0.3">
      <c r="A806" s="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5" customHeight="1" x14ac:dyDescent="0.3">
      <c r="A807" s="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5" customHeight="1" x14ac:dyDescent="0.3">
      <c r="A808" s="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5" customHeight="1" x14ac:dyDescent="0.3">
      <c r="A809" s="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5" customHeight="1" x14ac:dyDescent="0.3">
      <c r="A810" s="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5" customHeight="1" x14ac:dyDescent="0.3">
      <c r="A811" s="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5" customHeight="1" x14ac:dyDescent="0.3">
      <c r="A812" s="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5" customHeight="1" x14ac:dyDescent="0.3">
      <c r="A813" s="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5" customHeight="1" x14ac:dyDescent="0.3">
      <c r="A814" s="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5" customHeight="1" x14ac:dyDescent="0.3">
      <c r="A815" s="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5" customHeight="1" x14ac:dyDescent="0.3">
      <c r="A816" s="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5" customHeight="1" x14ac:dyDescent="0.3">
      <c r="A817" s="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5" customHeight="1" x14ac:dyDescent="0.3">
      <c r="A818" s="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5" customHeight="1" x14ac:dyDescent="0.3">
      <c r="A819" s="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5" customHeight="1" x14ac:dyDescent="0.3">
      <c r="A820" s="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5" customHeight="1" x14ac:dyDescent="0.3">
      <c r="A821" s="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5" customHeight="1" x14ac:dyDescent="0.3">
      <c r="A822" s="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5" customHeight="1" x14ac:dyDescent="0.3">
      <c r="A823" s="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5" customHeight="1" x14ac:dyDescent="0.3">
      <c r="A824" s="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5" customHeight="1" x14ac:dyDescent="0.3">
      <c r="A825" s="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5" customHeight="1" x14ac:dyDescent="0.3">
      <c r="A826" s="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5" customHeight="1" x14ac:dyDescent="0.3">
      <c r="A827" s="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5" customHeight="1" x14ac:dyDescent="0.3">
      <c r="A828" s="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5" customHeight="1" x14ac:dyDescent="0.3">
      <c r="A829" s="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5" customHeight="1" x14ac:dyDescent="0.3">
      <c r="A830" s="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5" customHeight="1" x14ac:dyDescent="0.3">
      <c r="A831" s="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5" customHeight="1" x14ac:dyDescent="0.3">
      <c r="A832" s="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5" customHeight="1" x14ac:dyDescent="0.3">
      <c r="A833" s="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5" customHeight="1" x14ac:dyDescent="0.3">
      <c r="A834" s="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5" customHeight="1" x14ac:dyDescent="0.3">
      <c r="A835" s="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5" customHeight="1" x14ac:dyDescent="0.3">
      <c r="A836" s="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5" customHeight="1" x14ac:dyDescent="0.3">
      <c r="A837" s="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5" customHeight="1" x14ac:dyDescent="0.3">
      <c r="A838" s="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5" customHeight="1" x14ac:dyDescent="0.3">
      <c r="A839" s="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5" customHeight="1" x14ac:dyDescent="0.3">
      <c r="A840" s="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5" customHeight="1" x14ac:dyDescent="0.3">
      <c r="A841" s="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5" customHeight="1" x14ac:dyDescent="0.3">
      <c r="A842" s="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5" customHeight="1" x14ac:dyDescent="0.3">
      <c r="A843" s="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5" customHeight="1" x14ac:dyDescent="0.3">
      <c r="A844" s="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5" customHeight="1" x14ac:dyDescent="0.3">
      <c r="A845" s="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5" customHeight="1" x14ac:dyDescent="0.3">
      <c r="A846" s="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5" customHeight="1" x14ac:dyDescent="0.3">
      <c r="A847" s="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5" customHeight="1" x14ac:dyDescent="0.3">
      <c r="A848" s="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5" customHeight="1" x14ac:dyDescent="0.3">
      <c r="A849" s="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5" customHeight="1" x14ac:dyDescent="0.3">
      <c r="A850" s="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5" customHeight="1" x14ac:dyDescent="0.3">
      <c r="A851" s="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5" customHeight="1" x14ac:dyDescent="0.3">
      <c r="A852" s="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5" customHeight="1" x14ac:dyDescent="0.3">
      <c r="A853" s="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5" customHeight="1" x14ac:dyDescent="0.3">
      <c r="A854" s="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5" customHeight="1" x14ac:dyDescent="0.3">
      <c r="A855" s="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5" customHeight="1" x14ac:dyDescent="0.3">
      <c r="A856" s="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5" customHeight="1" x14ac:dyDescent="0.3">
      <c r="A857" s="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5" customHeight="1" x14ac:dyDescent="0.3">
      <c r="A858" s="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5" customHeight="1" x14ac:dyDescent="0.3">
      <c r="A859" s="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5" customHeight="1" x14ac:dyDescent="0.3">
      <c r="A860" s="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5" customHeight="1" x14ac:dyDescent="0.3">
      <c r="A861" s="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5" customHeight="1" x14ac:dyDescent="0.3">
      <c r="A862" s="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5" customHeight="1" x14ac:dyDescent="0.3">
      <c r="A863" s="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5" customHeight="1" x14ac:dyDescent="0.3">
      <c r="A864" s="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5" customHeight="1" x14ac:dyDescent="0.3">
      <c r="A865" s="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5" customHeight="1" x14ac:dyDescent="0.3">
      <c r="A866" s="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5" customHeight="1" x14ac:dyDescent="0.3">
      <c r="A867" s="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5" customHeight="1" x14ac:dyDescent="0.3">
      <c r="A868" s="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5" customHeight="1" x14ac:dyDescent="0.3">
      <c r="A869" s="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5" customHeight="1" x14ac:dyDescent="0.3">
      <c r="A870" s="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5" customHeight="1" x14ac:dyDescent="0.3">
      <c r="A871" s="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5" customHeight="1" x14ac:dyDescent="0.3">
      <c r="A872" s="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5" customHeight="1" x14ac:dyDescent="0.3">
      <c r="A873" s="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5" customHeight="1" x14ac:dyDescent="0.3">
      <c r="A874" s="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5" customHeight="1" x14ac:dyDescent="0.3">
      <c r="A875" s="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5" customHeight="1" x14ac:dyDescent="0.3">
      <c r="A876" s="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5" customHeight="1" x14ac:dyDescent="0.3">
      <c r="A877" s="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5" customHeight="1" x14ac:dyDescent="0.3">
      <c r="A878" s="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5" customHeight="1" x14ac:dyDescent="0.3">
      <c r="A879" s="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5" customHeight="1" x14ac:dyDescent="0.3">
      <c r="A880" s="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5" customHeight="1" x14ac:dyDescent="0.3">
      <c r="A881" s="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5" customHeight="1" x14ac:dyDescent="0.3">
      <c r="A882" s="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5" customHeight="1" x14ac:dyDescent="0.3">
      <c r="A883" s="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5" customHeight="1" x14ac:dyDescent="0.3">
      <c r="A884" s="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5" customHeight="1" x14ac:dyDescent="0.3">
      <c r="A885" s="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5" customHeight="1" x14ac:dyDescent="0.3">
      <c r="A886" s="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5" customHeight="1" x14ac:dyDescent="0.3">
      <c r="A887" s="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5" customHeight="1" x14ac:dyDescent="0.3">
      <c r="A888" s="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5" customHeight="1" x14ac:dyDescent="0.3">
      <c r="A889" s="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5" customHeight="1" x14ac:dyDescent="0.3">
      <c r="A890" s="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5" customHeight="1" x14ac:dyDescent="0.3">
      <c r="A891" s="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5" customHeight="1" x14ac:dyDescent="0.3">
      <c r="A892" s="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5" customHeight="1" x14ac:dyDescent="0.3">
      <c r="A893" s="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5" customHeight="1" x14ac:dyDescent="0.3">
      <c r="A894" s="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5" customHeight="1" x14ac:dyDescent="0.3">
      <c r="A895" s="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5" customHeight="1" x14ac:dyDescent="0.3">
      <c r="A896" s="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5" customHeight="1" x14ac:dyDescent="0.3">
      <c r="A897" s="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5" customHeight="1" x14ac:dyDescent="0.3">
      <c r="A898" s="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5" customHeight="1" x14ac:dyDescent="0.3">
      <c r="A899" s="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5" customHeight="1" x14ac:dyDescent="0.3">
      <c r="A900" s="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5" customHeight="1" x14ac:dyDescent="0.3">
      <c r="A901" s="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5" customHeight="1" x14ac:dyDescent="0.3">
      <c r="A902" s="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5" customHeight="1" x14ac:dyDescent="0.3">
      <c r="A903" s="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5" customHeight="1" x14ac:dyDescent="0.3">
      <c r="A904" s="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5" customHeight="1" x14ac:dyDescent="0.3">
      <c r="A905" s="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5" customHeight="1" x14ac:dyDescent="0.3">
      <c r="A906" s="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5" customHeight="1" x14ac:dyDescent="0.3">
      <c r="A907" s="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5" customHeight="1" x14ac:dyDescent="0.3">
      <c r="A908" s="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5" customHeight="1" x14ac:dyDescent="0.3">
      <c r="A909" s="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5" customHeight="1" x14ac:dyDescent="0.3">
      <c r="A910" s="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5" customHeight="1" x14ac:dyDescent="0.3">
      <c r="A911" s="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5" customHeight="1" x14ac:dyDescent="0.3">
      <c r="A912" s="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5" customHeight="1" x14ac:dyDescent="0.3">
      <c r="A913" s="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5" customHeight="1" x14ac:dyDescent="0.3">
      <c r="A914" s="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5" customHeight="1" x14ac:dyDescent="0.3">
      <c r="A915" s="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5" customHeight="1" x14ac:dyDescent="0.3">
      <c r="A916" s="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5" customHeight="1" x14ac:dyDescent="0.3">
      <c r="A917" s="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5" customHeight="1" x14ac:dyDescent="0.3">
      <c r="A918" s="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5" customHeight="1" x14ac:dyDescent="0.3">
      <c r="A919" s="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5" customHeight="1" x14ac:dyDescent="0.3">
      <c r="A920" s="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5" customHeight="1" x14ac:dyDescent="0.3">
      <c r="A921" s="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5" customHeight="1" x14ac:dyDescent="0.3">
      <c r="A922" s="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5" customHeight="1" x14ac:dyDescent="0.3">
      <c r="A923" s="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5" customHeight="1" x14ac:dyDescent="0.3">
      <c r="A924" s="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5" customHeight="1" x14ac:dyDescent="0.3">
      <c r="A925" s="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5" customHeight="1" x14ac:dyDescent="0.3">
      <c r="A926" s="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5" customHeight="1" x14ac:dyDescent="0.3">
      <c r="A927" s="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5" customHeight="1" x14ac:dyDescent="0.3">
      <c r="A928" s="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5" customHeight="1" x14ac:dyDescent="0.3">
      <c r="A929" s="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5" customHeight="1" x14ac:dyDescent="0.3">
      <c r="A930" s="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5" customHeight="1" x14ac:dyDescent="0.3">
      <c r="A931" s="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5" customHeight="1" x14ac:dyDescent="0.3">
      <c r="A932" s="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5" customHeight="1" x14ac:dyDescent="0.3">
      <c r="A933" s="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5" customHeight="1" x14ac:dyDescent="0.3">
      <c r="A934" s="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5" customHeight="1" x14ac:dyDescent="0.3">
      <c r="A935" s="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5" customHeight="1" x14ac:dyDescent="0.3">
      <c r="A936" s="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5" customHeight="1" x14ac:dyDescent="0.3">
      <c r="A937" s="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5" customHeight="1" x14ac:dyDescent="0.3">
      <c r="A938" s="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5" customHeight="1" x14ac:dyDescent="0.3">
      <c r="A939" s="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5" customHeight="1" x14ac:dyDescent="0.3">
      <c r="A940" s="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5" customHeight="1" x14ac:dyDescent="0.3">
      <c r="A941" s="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5" customHeight="1" x14ac:dyDescent="0.3">
      <c r="A942" s="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5" customHeight="1" x14ac:dyDescent="0.3">
      <c r="A943" s="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5" customHeight="1" x14ac:dyDescent="0.3">
      <c r="A944" s="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5" customHeight="1" x14ac:dyDescent="0.3">
      <c r="A945" s="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5" customHeight="1" x14ac:dyDescent="0.3">
      <c r="A946" s="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5" customHeight="1" x14ac:dyDescent="0.3">
      <c r="A947" s="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5" customHeight="1" x14ac:dyDescent="0.3">
      <c r="A948" s="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5" customHeight="1" x14ac:dyDescent="0.3">
      <c r="A949" s="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5" customHeight="1" x14ac:dyDescent="0.3">
      <c r="A950" s="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5" customHeight="1" x14ac:dyDescent="0.3">
      <c r="A951" s="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5" customHeight="1" x14ac:dyDescent="0.3">
      <c r="A952" s="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5" customHeight="1" x14ac:dyDescent="0.3">
      <c r="A953" s="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5" customHeight="1" x14ac:dyDescent="0.3">
      <c r="A954" s="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5" customHeight="1" x14ac:dyDescent="0.3">
      <c r="A955" s="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5" customHeight="1" x14ac:dyDescent="0.3">
      <c r="A956" s="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5" customHeight="1" x14ac:dyDescent="0.3">
      <c r="A957" s="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5" customHeight="1" x14ac:dyDescent="0.3">
      <c r="A958" s="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5" customHeight="1" x14ac:dyDescent="0.3">
      <c r="A959" s="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5" customHeight="1" x14ac:dyDescent="0.3">
      <c r="A960" s="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5" customHeight="1" x14ac:dyDescent="0.3">
      <c r="A961" s="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5" customHeight="1" x14ac:dyDescent="0.3">
      <c r="A962" s="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5" customHeight="1" x14ac:dyDescent="0.3">
      <c r="A963" s="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5" customHeight="1" x14ac:dyDescent="0.3">
      <c r="A964" s="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5" customHeight="1" x14ac:dyDescent="0.3">
      <c r="A965" s="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5" customHeight="1" x14ac:dyDescent="0.3">
      <c r="A966" s="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5" customHeight="1" x14ac:dyDescent="0.3">
      <c r="A967" s="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5" customHeight="1" x14ac:dyDescent="0.3">
      <c r="A968" s="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5" customHeight="1" x14ac:dyDescent="0.3">
      <c r="A969" s="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5" customHeight="1" x14ac:dyDescent="0.3">
      <c r="A970" s="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5" customHeight="1" x14ac:dyDescent="0.3">
      <c r="A971" s="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5" customHeight="1" x14ac:dyDescent="0.3">
      <c r="A972" s="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5" customHeight="1" x14ac:dyDescent="0.3">
      <c r="A973" s="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5" customHeight="1" x14ac:dyDescent="0.3">
      <c r="A974" s="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5" customHeight="1" x14ac:dyDescent="0.3">
      <c r="A975" s="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5" customHeight="1" x14ac:dyDescent="0.3">
      <c r="A976" s="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5" customHeight="1" x14ac:dyDescent="0.3">
      <c r="A977" s="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5" customHeight="1" x14ac:dyDescent="0.3">
      <c r="A978" s="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5" customHeight="1" x14ac:dyDescent="0.3">
      <c r="A979" s="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5" customHeight="1" x14ac:dyDescent="0.3">
      <c r="A980" s="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5" customHeight="1" x14ac:dyDescent="0.3">
      <c r="A981" s="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5" customHeight="1" x14ac:dyDescent="0.3">
      <c r="A982" s="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5" customHeight="1" x14ac:dyDescent="0.3">
      <c r="A983" s="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5" customHeight="1" x14ac:dyDescent="0.3">
      <c r="A984" s="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5" customHeight="1" x14ac:dyDescent="0.3">
      <c r="A985" s="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5" customHeight="1" x14ac:dyDescent="0.3">
      <c r="A986" s="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5" customHeight="1" x14ac:dyDescent="0.3">
      <c r="A987" s="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5" customHeight="1" x14ac:dyDescent="0.3">
      <c r="A988" s="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5" customHeight="1" x14ac:dyDescent="0.3">
      <c r="A989" s="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5" customHeight="1" x14ac:dyDescent="0.3">
      <c r="A990" s="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5" customHeight="1" x14ac:dyDescent="0.3">
      <c r="A991" s="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5" customHeight="1" x14ac:dyDescent="0.3">
      <c r="A992" s="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5" customHeight="1" x14ac:dyDescent="0.3">
      <c r="A993" s="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5" customHeight="1" x14ac:dyDescent="0.3">
      <c r="A994" s="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.5" customHeight="1" x14ac:dyDescent="0.3">
      <c r="A995" s="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.5" customHeight="1" x14ac:dyDescent="0.3">
      <c r="A996" s="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.5" customHeight="1" x14ac:dyDescent="0.3">
      <c r="A997" s="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.5" customHeight="1" x14ac:dyDescent="0.3">
      <c r="A998" s="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.5" customHeight="1" x14ac:dyDescent="0.3">
      <c r="A999" s="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.5" customHeight="1" x14ac:dyDescent="0.3">
      <c r="A1000" s="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3.5" customHeight="1" x14ac:dyDescent="0.3">
      <c r="A1001" s="3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3.5" customHeight="1" x14ac:dyDescent="0.3">
      <c r="A1002" s="3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ht="13.5" customHeight="1" x14ac:dyDescent="0.3">
      <c r="A1003" s="3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ht="13.5" customHeight="1" x14ac:dyDescent="0.3">
      <c r="A1004" s="3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spans="1:25" ht="13.5" customHeight="1" x14ac:dyDescent="0.3">
      <c r="A1005" s="3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spans="1:25" ht="13.5" customHeight="1" x14ac:dyDescent="0.3">
      <c r="A1006" s="3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spans="1:25" ht="13.5" customHeight="1" x14ac:dyDescent="0.3">
      <c r="A1007" s="3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spans="1:25" ht="13.5" customHeight="1" x14ac:dyDescent="0.3">
      <c r="A1008" s="3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spans="1:25" ht="13.5" customHeight="1" x14ac:dyDescent="0.3">
      <c r="A1009" s="3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spans="1:25" ht="13.5" customHeight="1" x14ac:dyDescent="0.3">
      <c r="A1010" s="3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 spans="1:25" ht="13.5" customHeight="1" x14ac:dyDescent="0.3">
      <c r="A1011" s="3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 spans="1:25" ht="13.5" customHeight="1" x14ac:dyDescent="0.3">
      <c r="A1012" s="3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 spans="1:25" ht="13.5" customHeight="1" x14ac:dyDescent="0.3">
      <c r="A1013" s="3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  <row r="1014" spans="1:25" ht="13.5" customHeight="1" x14ac:dyDescent="0.3">
      <c r="A1014" s="3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</row>
    <row r="1015" spans="1:25" ht="13.5" customHeight="1" x14ac:dyDescent="0.3">
      <c r="A1015" s="3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</row>
    <row r="1016" spans="1:25" ht="13.5" customHeight="1" x14ac:dyDescent="0.3">
      <c r="A1016" s="3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</row>
    <row r="1017" spans="1:25" ht="13.5" customHeight="1" x14ac:dyDescent="0.3">
      <c r="A1017" s="3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</row>
    <row r="1018" spans="1:25" ht="13.5" customHeight="1" x14ac:dyDescent="0.3">
      <c r="A1018" s="3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</row>
    <row r="1019" spans="1:25" ht="13.5" customHeight="1" x14ac:dyDescent="0.3">
      <c r="A1019" s="3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</row>
    <row r="1020" spans="1:25" ht="13.5" customHeight="1" x14ac:dyDescent="0.3">
      <c r="A1020" s="3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</row>
    <row r="1021" spans="1:25" ht="13.5" customHeight="1" x14ac:dyDescent="0.3">
      <c r="A1021" s="3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</row>
  </sheetData>
  <mergeCells count="3">
    <mergeCell ref="A1:H1"/>
    <mergeCell ref="D2:F2"/>
    <mergeCell ref="A37:D37"/>
  </mergeCells>
  <hyperlinks>
    <hyperlink ref="H17" r:id="rId1" xr:uid="{00000000-0004-0000-0000-000000000000}"/>
  </hyperlinks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8"/>
  <sheetViews>
    <sheetView showGridLines="0" topLeftCell="C1" zoomScale="81" zoomScaleNormal="81" workbookViewId="0">
      <pane ySplit="3" topLeftCell="A10" activePane="bottomLeft" state="frozen"/>
      <selection activeCell="C1" sqref="C1"/>
      <selection pane="bottomLeft" activeCell="N18" sqref="N18"/>
    </sheetView>
  </sheetViews>
  <sheetFormatPr defaultColWidth="12.5703125" defaultRowHeight="15" x14ac:dyDescent="0.25"/>
  <cols>
    <col min="1" max="1" width="12.42578125" customWidth="1"/>
    <col min="2" max="2" width="28.42578125" customWidth="1"/>
    <col min="3" max="3" width="75.140625" customWidth="1"/>
    <col min="4" max="4" width="13.28515625" customWidth="1"/>
    <col min="5" max="5" width="16.85546875" customWidth="1"/>
    <col min="6" max="7" width="14" customWidth="1"/>
    <col min="8" max="8" width="15.140625" customWidth="1"/>
    <col min="9" max="13" width="14" customWidth="1"/>
    <col min="14" max="16" width="15" customWidth="1"/>
    <col min="17" max="17" width="48.7109375" customWidth="1"/>
    <col min="18" max="18" width="22.140625" customWidth="1"/>
    <col min="19" max="26" width="8.5703125" customWidth="1"/>
  </cols>
  <sheetData>
    <row r="1" spans="1:26" ht="24" customHeight="1" x14ac:dyDescent="0.25">
      <c r="A1" s="210" t="s">
        <v>78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</row>
    <row r="2" spans="1:26" ht="17.25" customHeight="1" x14ac:dyDescent="0.3">
      <c r="A2" s="46"/>
      <c r="B2" s="47" t="s">
        <v>79</v>
      </c>
      <c r="C2" s="47"/>
      <c r="D2" s="211" t="s">
        <v>80</v>
      </c>
      <c r="E2" s="211"/>
      <c r="F2" s="211"/>
      <c r="G2" s="211"/>
      <c r="H2" s="211"/>
      <c r="I2" s="211"/>
      <c r="J2" s="48"/>
      <c r="K2" s="48"/>
      <c r="L2" s="48"/>
      <c r="M2" s="48"/>
      <c r="N2" s="48"/>
      <c r="O2" s="48"/>
      <c r="P2" s="48"/>
      <c r="Q2" s="48"/>
      <c r="R2" s="49"/>
      <c r="S2" s="1"/>
      <c r="T2" s="1"/>
      <c r="U2" s="1"/>
      <c r="V2" s="1"/>
      <c r="W2" s="1"/>
      <c r="X2" s="1"/>
      <c r="Y2" s="1"/>
      <c r="Z2" s="1"/>
    </row>
    <row r="3" spans="1:26" ht="48" customHeight="1" x14ac:dyDescent="0.3">
      <c r="A3" s="4" t="s">
        <v>81</v>
      </c>
      <c r="B3" s="4" t="s">
        <v>82</v>
      </c>
      <c r="C3" s="4" t="s">
        <v>83</v>
      </c>
      <c r="D3" s="4" t="s">
        <v>84</v>
      </c>
      <c r="E3" s="4" t="s">
        <v>85</v>
      </c>
      <c r="F3" s="4" t="s">
        <v>86</v>
      </c>
      <c r="G3" s="4" t="s">
        <v>87</v>
      </c>
      <c r="H3" s="4" t="s">
        <v>88</v>
      </c>
      <c r="I3" s="4" t="s">
        <v>89</v>
      </c>
      <c r="J3" s="4" t="s">
        <v>90</v>
      </c>
      <c r="K3" s="4" t="s">
        <v>91</v>
      </c>
      <c r="L3" s="4" t="s">
        <v>92</v>
      </c>
      <c r="M3" s="4" t="s">
        <v>93</v>
      </c>
      <c r="N3" s="4" t="s">
        <v>94</v>
      </c>
      <c r="O3" s="4" t="s">
        <v>95</v>
      </c>
      <c r="P3" s="4" t="s">
        <v>96</v>
      </c>
      <c r="Q3" s="4" t="s">
        <v>97</v>
      </c>
      <c r="R3" s="50" t="s">
        <v>98</v>
      </c>
      <c r="S3" s="1"/>
      <c r="T3" s="212"/>
      <c r="U3" s="212"/>
      <c r="V3" s="212"/>
      <c r="W3" s="212"/>
      <c r="X3" s="212"/>
      <c r="Y3" s="212"/>
      <c r="Z3" s="1"/>
    </row>
    <row r="4" spans="1:26" ht="22.5" customHeight="1" x14ac:dyDescent="0.3">
      <c r="A4" s="51" t="s">
        <v>99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2"/>
      <c r="S4" s="53"/>
      <c r="T4" s="53"/>
      <c r="U4" s="53"/>
      <c r="V4" s="53"/>
      <c r="W4" s="53"/>
      <c r="X4" s="53"/>
      <c r="Y4" s="53"/>
      <c r="Z4" s="53"/>
    </row>
    <row r="5" spans="1:26" ht="32.25" customHeight="1" x14ac:dyDescent="0.3">
      <c r="A5" s="16" t="s">
        <v>100</v>
      </c>
      <c r="B5" s="16" t="s">
        <v>101</v>
      </c>
      <c r="C5" s="16" t="s">
        <v>102</v>
      </c>
      <c r="D5" s="16" t="s">
        <v>103</v>
      </c>
      <c r="E5" s="54">
        <v>12</v>
      </c>
      <c r="F5" s="54">
        <v>12</v>
      </c>
      <c r="G5" s="54">
        <v>12</v>
      </c>
      <c r="H5" s="54">
        <v>12</v>
      </c>
      <c r="I5" s="54">
        <v>12</v>
      </c>
      <c r="J5" s="54">
        <v>12</v>
      </c>
      <c r="K5" s="54">
        <v>12</v>
      </c>
      <c r="L5" s="54">
        <v>12</v>
      </c>
      <c r="M5" s="54">
        <v>12</v>
      </c>
      <c r="N5" s="55">
        <f t="shared" ref="N5:N23" si="0">IF($B$2="Thận trọng",E5,IF($B$2="Cơ sở",H5,K5))</f>
        <v>12</v>
      </c>
      <c r="O5" s="55">
        <f t="shared" ref="O5:O23" si="1">IF($B$2="Thận trọng",F5,IF($B$2="Cơ sở",I5,L5))</f>
        <v>12</v>
      </c>
      <c r="P5" s="55">
        <f t="shared" ref="P5:P23" si="2">IF($B$2="Thận trọng",G5,IF($B$2="Cơ sở",J5,M5))</f>
        <v>12</v>
      </c>
      <c r="Q5" s="56" t="s">
        <v>104</v>
      </c>
      <c r="R5" s="57" t="s">
        <v>105</v>
      </c>
      <c r="S5" s="1"/>
      <c r="T5" s="1"/>
      <c r="U5" s="1"/>
      <c r="V5" s="1"/>
      <c r="W5" s="1"/>
      <c r="X5" s="1"/>
      <c r="Y5" s="1"/>
      <c r="Z5" s="1"/>
    </row>
    <row r="6" spans="1:26" ht="63.75" customHeight="1" x14ac:dyDescent="0.3">
      <c r="A6" s="16" t="s">
        <v>100</v>
      </c>
      <c r="B6" s="16" t="s">
        <v>106</v>
      </c>
      <c r="C6" s="16" t="s">
        <v>107</v>
      </c>
      <c r="D6" s="16" t="s">
        <v>108</v>
      </c>
      <c r="E6" s="54">
        <v>20000</v>
      </c>
      <c r="F6" s="54">
        <v>30000</v>
      </c>
      <c r="G6" s="54">
        <f>(G25*G31 + G26*G32)*0.5 + 20000</f>
        <v>37500</v>
      </c>
      <c r="H6" s="54">
        <f>(H25*H31 + H26*H32)*0.5 + 40000</f>
        <v>70000</v>
      </c>
      <c r="I6" s="54">
        <f>(I25*I31 + I26*I32)*0.5 + 70000</f>
        <v>190000</v>
      </c>
      <c r="J6" s="54">
        <v>70000</v>
      </c>
      <c r="K6" s="54">
        <v>50000</v>
      </c>
      <c r="L6" s="54">
        <v>70000</v>
      </c>
      <c r="M6" s="54">
        <v>100000</v>
      </c>
      <c r="N6" s="55">
        <f t="shared" si="0"/>
        <v>70000</v>
      </c>
      <c r="O6" s="55">
        <f t="shared" si="1"/>
        <v>190000</v>
      </c>
      <c r="P6" s="55">
        <f t="shared" si="2"/>
        <v>70000</v>
      </c>
      <c r="Q6" s="56" t="s">
        <v>109</v>
      </c>
      <c r="R6" s="57" t="s">
        <v>110</v>
      </c>
      <c r="S6" s="1"/>
      <c r="T6" s="1"/>
      <c r="U6" s="1"/>
      <c r="V6" s="1"/>
      <c r="W6" s="1"/>
      <c r="X6" s="1"/>
      <c r="Y6" s="1"/>
      <c r="Z6" s="1"/>
    </row>
    <row r="7" spans="1:26" ht="32.25" customHeight="1" x14ac:dyDescent="0.3">
      <c r="A7" s="16" t="s">
        <v>100</v>
      </c>
      <c r="B7" s="16" t="s">
        <v>111</v>
      </c>
      <c r="C7" s="16" t="s">
        <v>112</v>
      </c>
      <c r="D7" s="16" t="s">
        <v>113</v>
      </c>
      <c r="E7" s="58">
        <v>0.3</v>
      </c>
      <c r="F7" s="58">
        <v>0.4</v>
      </c>
      <c r="G7" s="58">
        <v>0.5</v>
      </c>
      <c r="H7" s="58">
        <v>0.35</v>
      </c>
      <c r="I7" s="58">
        <v>0.45</v>
      </c>
      <c r="J7" s="58">
        <v>0.55000000000000004</v>
      </c>
      <c r="K7" s="58">
        <v>0.4</v>
      </c>
      <c r="L7" s="58">
        <v>0.5</v>
      </c>
      <c r="M7" s="58">
        <v>0.6</v>
      </c>
      <c r="N7" s="59">
        <f t="shared" si="0"/>
        <v>0.35</v>
      </c>
      <c r="O7" s="59">
        <f t="shared" si="1"/>
        <v>0.45</v>
      </c>
      <c r="P7" s="59">
        <f t="shared" si="2"/>
        <v>0.55000000000000004</v>
      </c>
      <c r="Q7" s="56" t="s">
        <v>114</v>
      </c>
      <c r="R7" s="57" t="s">
        <v>110</v>
      </c>
      <c r="S7" s="1"/>
      <c r="T7" s="1"/>
      <c r="U7" s="1"/>
      <c r="V7" s="1"/>
      <c r="W7" s="1"/>
      <c r="X7" s="1"/>
      <c r="Y7" s="1"/>
      <c r="Z7" s="1"/>
    </row>
    <row r="8" spans="1:26" ht="32.25" customHeight="1" x14ac:dyDescent="0.3">
      <c r="A8" s="60" t="s">
        <v>100</v>
      </c>
      <c r="B8" s="60" t="s">
        <v>115</v>
      </c>
      <c r="C8" s="60" t="s">
        <v>116</v>
      </c>
      <c r="D8" s="60" t="s">
        <v>113</v>
      </c>
      <c r="E8" s="61">
        <v>0.03</v>
      </c>
      <c r="F8" s="61">
        <v>0.04</v>
      </c>
      <c r="G8" s="61">
        <v>0.05</v>
      </c>
      <c r="H8" s="61">
        <v>0.04</v>
      </c>
      <c r="I8" s="61">
        <v>0.05</v>
      </c>
      <c r="J8" s="61">
        <v>0.06</v>
      </c>
      <c r="K8" s="61">
        <v>0.05</v>
      </c>
      <c r="L8" s="61">
        <v>0.06</v>
      </c>
      <c r="M8" s="61">
        <v>7.0000000000000007E-2</v>
      </c>
      <c r="N8" s="62">
        <f t="shared" si="0"/>
        <v>0.04</v>
      </c>
      <c r="O8" s="62">
        <f t="shared" si="1"/>
        <v>0.05</v>
      </c>
      <c r="P8" s="62">
        <f t="shared" si="2"/>
        <v>0.06</v>
      </c>
      <c r="Q8" s="63" t="s">
        <v>117</v>
      </c>
      <c r="R8" s="64" t="s">
        <v>110</v>
      </c>
      <c r="S8" s="65"/>
      <c r="T8" s="65"/>
      <c r="U8" s="65"/>
      <c r="V8" s="65"/>
      <c r="W8" s="65"/>
      <c r="X8" s="65"/>
      <c r="Y8" s="65"/>
      <c r="Z8" s="65"/>
    </row>
    <row r="9" spans="1:26" ht="32.25" customHeight="1" x14ac:dyDescent="0.3">
      <c r="A9" s="16" t="s">
        <v>100</v>
      </c>
      <c r="B9" s="16" t="s">
        <v>118</v>
      </c>
      <c r="C9" s="16" t="s">
        <v>119</v>
      </c>
      <c r="D9" s="16" t="s">
        <v>113</v>
      </c>
      <c r="E9" s="58">
        <v>0.75</v>
      </c>
      <c r="F9" s="58">
        <v>0.7</v>
      </c>
      <c r="G9" s="58">
        <v>0.65</v>
      </c>
      <c r="H9" s="58">
        <v>0.7</v>
      </c>
      <c r="I9" s="58">
        <v>0.65</v>
      </c>
      <c r="J9" s="58">
        <v>0.6</v>
      </c>
      <c r="K9" s="58">
        <v>0.65</v>
      </c>
      <c r="L9" s="58">
        <v>0.6</v>
      </c>
      <c r="M9" s="58">
        <v>0.55000000000000004</v>
      </c>
      <c r="N9" s="59">
        <f t="shared" si="0"/>
        <v>0.7</v>
      </c>
      <c r="O9" s="59">
        <f t="shared" si="1"/>
        <v>0.65</v>
      </c>
      <c r="P9" s="59">
        <f t="shared" si="2"/>
        <v>0.6</v>
      </c>
      <c r="Q9" s="56" t="s">
        <v>114</v>
      </c>
      <c r="R9" s="57" t="s">
        <v>110</v>
      </c>
      <c r="S9" s="1"/>
      <c r="T9" s="1"/>
      <c r="U9" s="1"/>
      <c r="V9" s="1"/>
      <c r="W9" s="1"/>
      <c r="X9" s="1"/>
      <c r="Y9" s="1"/>
      <c r="Z9" s="1"/>
    </row>
    <row r="10" spans="1:26" ht="32.25" customHeight="1" x14ac:dyDescent="0.3">
      <c r="A10" s="16" t="s">
        <v>100</v>
      </c>
      <c r="B10" s="16" t="s">
        <v>120</v>
      </c>
      <c r="C10" s="16" t="s">
        <v>121</v>
      </c>
      <c r="D10" s="16" t="s">
        <v>113</v>
      </c>
      <c r="E10" s="58">
        <v>0.25</v>
      </c>
      <c r="F10" s="58">
        <v>0.3</v>
      </c>
      <c r="G10" s="58">
        <v>0.35</v>
      </c>
      <c r="H10" s="58">
        <v>0.3</v>
      </c>
      <c r="I10" s="58">
        <v>0.35</v>
      </c>
      <c r="J10" s="58">
        <v>0.4</v>
      </c>
      <c r="K10" s="58">
        <v>0.35</v>
      </c>
      <c r="L10" s="58">
        <v>0.4</v>
      </c>
      <c r="M10" s="58">
        <v>0.45</v>
      </c>
      <c r="N10" s="59">
        <f t="shared" si="0"/>
        <v>0.3</v>
      </c>
      <c r="O10" s="59">
        <f t="shared" si="1"/>
        <v>0.35</v>
      </c>
      <c r="P10" s="59">
        <f t="shared" si="2"/>
        <v>0.4</v>
      </c>
      <c r="Q10" s="56" t="s">
        <v>114</v>
      </c>
      <c r="R10" s="57" t="s">
        <v>110</v>
      </c>
      <c r="S10" s="1"/>
      <c r="T10" s="1"/>
      <c r="U10" s="1"/>
      <c r="V10" s="1"/>
      <c r="W10" s="1"/>
      <c r="X10" s="1"/>
      <c r="Y10" s="1"/>
      <c r="Z10" s="1"/>
    </row>
    <row r="11" spans="1:26" ht="32.25" customHeight="1" x14ac:dyDescent="0.3">
      <c r="A11" s="16" t="s">
        <v>100</v>
      </c>
      <c r="B11" s="16" t="s">
        <v>122</v>
      </c>
      <c r="C11" s="16" t="s">
        <v>123</v>
      </c>
      <c r="D11" s="16" t="s">
        <v>113</v>
      </c>
      <c r="E11" s="66">
        <v>0.8</v>
      </c>
      <c r="F11" s="66">
        <v>0.7</v>
      </c>
      <c r="G11" s="66">
        <v>0.6</v>
      </c>
      <c r="H11" s="66">
        <v>0.6</v>
      </c>
      <c r="I11" s="66">
        <v>0.45</v>
      </c>
      <c r="J11" s="66">
        <v>0.35</v>
      </c>
      <c r="K11" s="66">
        <v>0.4</v>
      </c>
      <c r="L11" s="66">
        <v>0.25</v>
      </c>
      <c r="M11" s="66">
        <v>0.15</v>
      </c>
      <c r="N11" s="67">
        <f t="shared" si="0"/>
        <v>0.6</v>
      </c>
      <c r="O11" s="67">
        <f t="shared" si="1"/>
        <v>0.45</v>
      </c>
      <c r="P11" s="67">
        <f t="shared" si="2"/>
        <v>0.35</v>
      </c>
      <c r="Q11" s="56" t="s">
        <v>114</v>
      </c>
      <c r="R11" s="68" t="s">
        <v>110</v>
      </c>
      <c r="S11" s="1"/>
      <c r="T11" s="1"/>
      <c r="U11" s="1"/>
      <c r="V11" s="1"/>
      <c r="W11" s="1"/>
      <c r="X11" s="1"/>
      <c r="Y11" s="1"/>
      <c r="Z11" s="1"/>
    </row>
    <row r="12" spans="1:26" ht="32.25" customHeight="1" x14ac:dyDescent="0.3">
      <c r="A12" s="16" t="s">
        <v>100</v>
      </c>
      <c r="B12" s="16" t="s">
        <v>124</v>
      </c>
      <c r="C12" s="16" t="s">
        <v>125</v>
      </c>
      <c r="D12" s="16" t="s">
        <v>113</v>
      </c>
      <c r="E12" s="66">
        <v>0.2</v>
      </c>
      <c r="F12" s="66">
        <v>0.3</v>
      </c>
      <c r="G12" s="66">
        <v>0.4</v>
      </c>
      <c r="H12" s="66">
        <v>0.4</v>
      </c>
      <c r="I12" s="66">
        <v>0.55000000000000004</v>
      </c>
      <c r="J12" s="66">
        <v>0.65</v>
      </c>
      <c r="K12" s="66">
        <v>0.6</v>
      </c>
      <c r="L12" s="66">
        <v>0.75</v>
      </c>
      <c r="M12" s="66">
        <v>0.85</v>
      </c>
      <c r="N12" s="67">
        <f t="shared" si="0"/>
        <v>0.4</v>
      </c>
      <c r="O12" s="67">
        <f t="shared" si="1"/>
        <v>0.55000000000000004</v>
      </c>
      <c r="P12" s="67">
        <f t="shared" si="2"/>
        <v>0.65</v>
      </c>
      <c r="Q12" s="56" t="s">
        <v>114</v>
      </c>
      <c r="R12" s="68" t="s">
        <v>110</v>
      </c>
      <c r="S12" s="1"/>
      <c r="T12" s="1"/>
      <c r="U12" s="1"/>
      <c r="V12" s="1"/>
      <c r="W12" s="1"/>
      <c r="X12" s="1"/>
      <c r="Y12" s="1"/>
      <c r="Z12" s="1"/>
    </row>
    <row r="13" spans="1:26" ht="32.25" customHeight="1" x14ac:dyDescent="0.3">
      <c r="A13" s="16" t="s">
        <v>100</v>
      </c>
      <c r="B13" s="69" t="s">
        <v>126</v>
      </c>
      <c r="C13" s="69" t="s">
        <v>127</v>
      </c>
      <c r="D13" s="69" t="s">
        <v>108</v>
      </c>
      <c r="E13" s="70">
        <f t="shared" ref="E13:M13" si="3">E6*E7</f>
        <v>6000</v>
      </c>
      <c r="F13" s="70">
        <f t="shared" si="3"/>
        <v>12000</v>
      </c>
      <c r="G13" s="70">
        <f t="shared" si="3"/>
        <v>18750</v>
      </c>
      <c r="H13" s="70">
        <f t="shared" si="3"/>
        <v>24500</v>
      </c>
      <c r="I13" s="70">
        <f t="shared" si="3"/>
        <v>85500</v>
      </c>
      <c r="J13" s="70">
        <f t="shared" si="3"/>
        <v>38500</v>
      </c>
      <c r="K13" s="70">
        <f t="shared" si="3"/>
        <v>20000</v>
      </c>
      <c r="L13" s="70">
        <f t="shared" si="3"/>
        <v>35000</v>
      </c>
      <c r="M13" s="70">
        <f t="shared" si="3"/>
        <v>60000</v>
      </c>
      <c r="N13" s="70">
        <f t="shared" si="0"/>
        <v>24500</v>
      </c>
      <c r="O13" s="70">
        <f t="shared" si="1"/>
        <v>85500</v>
      </c>
      <c r="P13" s="70">
        <f t="shared" si="2"/>
        <v>38500</v>
      </c>
      <c r="Q13" s="56" t="s">
        <v>114</v>
      </c>
      <c r="R13" s="68" t="s">
        <v>110</v>
      </c>
      <c r="S13" s="1"/>
      <c r="T13" s="1"/>
      <c r="U13" s="1"/>
      <c r="V13" s="1"/>
      <c r="W13" s="1"/>
      <c r="X13" s="1"/>
      <c r="Y13" s="1"/>
      <c r="Z13" s="1"/>
    </row>
    <row r="14" spans="1:26" ht="32.25" customHeight="1" x14ac:dyDescent="0.3">
      <c r="A14" s="16" t="s">
        <v>100</v>
      </c>
      <c r="B14" s="16" t="s">
        <v>128</v>
      </c>
      <c r="C14" s="71" t="s">
        <v>129</v>
      </c>
      <c r="D14" s="69" t="s">
        <v>108</v>
      </c>
      <c r="E14" s="72">
        <v>5950</v>
      </c>
      <c r="F14" s="72">
        <v>11900</v>
      </c>
      <c r="G14" s="72">
        <v>22300</v>
      </c>
      <c r="H14" s="72">
        <v>13900</v>
      </c>
      <c r="I14" s="72">
        <v>22350</v>
      </c>
      <c r="J14" s="72">
        <v>38250</v>
      </c>
      <c r="K14" s="72">
        <v>19850</v>
      </c>
      <c r="L14" s="72">
        <v>34800</v>
      </c>
      <c r="M14" s="72">
        <v>59650</v>
      </c>
      <c r="N14" s="73">
        <f t="shared" si="0"/>
        <v>13900</v>
      </c>
      <c r="O14" s="73">
        <f t="shared" si="1"/>
        <v>22350</v>
      </c>
      <c r="P14" s="73">
        <f t="shared" si="2"/>
        <v>38250</v>
      </c>
      <c r="Q14" s="56" t="s">
        <v>114</v>
      </c>
      <c r="R14" s="57" t="s">
        <v>110</v>
      </c>
      <c r="S14" s="1"/>
      <c r="T14" s="1"/>
      <c r="U14" s="1"/>
      <c r="V14" s="1"/>
      <c r="W14" s="1"/>
      <c r="X14" s="1"/>
      <c r="Y14" s="1"/>
      <c r="Z14" s="1"/>
    </row>
    <row r="15" spans="1:26" ht="32.25" customHeight="1" x14ac:dyDescent="0.3">
      <c r="A15" s="16" t="s">
        <v>100</v>
      </c>
      <c r="B15" s="16" t="s">
        <v>130</v>
      </c>
      <c r="C15" s="71" t="s">
        <v>131</v>
      </c>
      <c r="D15" s="69" t="s">
        <v>108</v>
      </c>
      <c r="E15" s="72">
        <f t="shared" ref="E15:M15" si="4">E13-E14</f>
        <v>50</v>
      </c>
      <c r="F15" s="72">
        <f t="shared" si="4"/>
        <v>100</v>
      </c>
      <c r="G15" s="72">
        <f t="shared" si="4"/>
        <v>-3550</v>
      </c>
      <c r="H15" s="72">
        <f t="shared" si="4"/>
        <v>10600</v>
      </c>
      <c r="I15" s="72">
        <f t="shared" si="4"/>
        <v>63150</v>
      </c>
      <c r="J15" s="72">
        <f t="shared" si="4"/>
        <v>250</v>
      </c>
      <c r="K15" s="72">
        <f t="shared" si="4"/>
        <v>150</v>
      </c>
      <c r="L15" s="72">
        <f t="shared" si="4"/>
        <v>200</v>
      </c>
      <c r="M15" s="72">
        <f t="shared" si="4"/>
        <v>350</v>
      </c>
      <c r="N15" s="73">
        <f t="shared" si="0"/>
        <v>10600</v>
      </c>
      <c r="O15" s="73">
        <f t="shared" si="1"/>
        <v>63150</v>
      </c>
      <c r="P15" s="73">
        <f t="shared" si="2"/>
        <v>250</v>
      </c>
      <c r="Q15" s="56" t="s">
        <v>114</v>
      </c>
      <c r="R15" s="57" t="s">
        <v>110</v>
      </c>
      <c r="S15" s="1"/>
      <c r="T15" s="1"/>
      <c r="U15" s="1"/>
      <c r="V15" s="1"/>
      <c r="W15" s="1"/>
      <c r="X15" s="1"/>
      <c r="Y15" s="1"/>
      <c r="Z15" s="1"/>
    </row>
    <row r="16" spans="1:26" ht="32.25" customHeight="1" x14ac:dyDescent="0.3">
      <c r="A16" s="16" t="s">
        <v>100</v>
      </c>
      <c r="B16" s="16" t="s">
        <v>132</v>
      </c>
      <c r="C16" s="16" t="s">
        <v>133</v>
      </c>
      <c r="D16" s="16" t="s">
        <v>113</v>
      </c>
      <c r="E16" s="74">
        <v>0.91500000000000004</v>
      </c>
      <c r="F16" s="75">
        <v>0.92</v>
      </c>
      <c r="G16" s="74">
        <v>0.92500000000000004</v>
      </c>
      <c r="H16" s="76">
        <v>0.93500000000000005</v>
      </c>
      <c r="I16" s="74">
        <v>0.94199999999999995</v>
      </c>
      <c r="J16" s="75">
        <v>0.95</v>
      </c>
      <c r="K16" s="76">
        <v>0.95199999999999996</v>
      </c>
      <c r="L16" s="76">
        <v>0.95799999999999996</v>
      </c>
      <c r="M16" s="74">
        <v>0.96499999999999997</v>
      </c>
      <c r="N16" s="67">
        <f t="shared" si="0"/>
        <v>0.93500000000000005</v>
      </c>
      <c r="O16" s="67">
        <f t="shared" si="1"/>
        <v>0.94199999999999995</v>
      </c>
      <c r="P16" s="67">
        <f t="shared" si="2"/>
        <v>0.95</v>
      </c>
      <c r="Q16" s="56" t="s">
        <v>114</v>
      </c>
      <c r="R16" s="57" t="s">
        <v>110</v>
      </c>
      <c r="S16" s="1"/>
      <c r="T16" s="1"/>
      <c r="U16" s="1"/>
      <c r="V16" s="1"/>
      <c r="W16" s="1"/>
      <c r="X16" s="1"/>
      <c r="Y16" s="1"/>
      <c r="Z16" s="1"/>
    </row>
    <row r="17" spans="1:26" ht="32.25" customHeight="1" x14ac:dyDescent="0.3">
      <c r="A17" s="16" t="s">
        <v>100</v>
      </c>
      <c r="B17" s="16" t="s">
        <v>134</v>
      </c>
      <c r="C17" s="16" t="s">
        <v>135</v>
      </c>
      <c r="D17" s="16" t="s">
        <v>113</v>
      </c>
      <c r="E17" s="58">
        <f t="shared" ref="E17:M17" si="5">100% - E16</f>
        <v>8.4999999999999964E-2</v>
      </c>
      <c r="F17" s="58">
        <f t="shared" si="5"/>
        <v>7.999999999999996E-2</v>
      </c>
      <c r="G17" s="58">
        <f t="shared" si="5"/>
        <v>7.4999999999999956E-2</v>
      </c>
      <c r="H17" s="58">
        <f t="shared" si="5"/>
        <v>6.4999999999999947E-2</v>
      </c>
      <c r="I17" s="58">
        <f t="shared" si="5"/>
        <v>5.8000000000000052E-2</v>
      </c>
      <c r="J17" s="58">
        <f t="shared" si="5"/>
        <v>5.0000000000000044E-2</v>
      </c>
      <c r="K17" s="58">
        <f t="shared" si="5"/>
        <v>4.8000000000000043E-2</v>
      </c>
      <c r="L17" s="58">
        <f t="shared" si="5"/>
        <v>4.2000000000000037E-2</v>
      </c>
      <c r="M17" s="58">
        <f t="shared" si="5"/>
        <v>3.5000000000000031E-2</v>
      </c>
      <c r="N17" s="59">
        <f t="shared" si="0"/>
        <v>6.4999999999999947E-2</v>
      </c>
      <c r="O17" s="59">
        <f t="shared" si="1"/>
        <v>5.8000000000000052E-2</v>
      </c>
      <c r="P17" s="59">
        <f t="shared" si="2"/>
        <v>5.0000000000000044E-2</v>
      </c>
      <c r="Q17" s="56" t="s">
        <v>114</v>
      </c>
      <c r="R17" s="57" t="s">
        <v>110</v>
      </c>
      <c r="S17" s="1"/>
      <c r="T17" s="1"/>
      <c r="U17" s="1"/>
      <c r="V17" s="1"/>
      <c r="W17" s="1"/>
      <c r="X17" s="1"/>
      <c r="Y17" s="1"/>
      <c r="Z17" s="1"/>
    </row>
    <row r="18" spans="1:26" ht="32.25" customHeight="1" x14ac:dyDescent="0.3">
      <c r="A18" s="16" t="s">
        <v>100</v>
      </c>
      <c r="B18" s="16" t="s">
        <v>136</v>
      </c>
      <c r="C18" s="16" t="s">
        <v>137</v>
      </c>
      <c r="D18" s="16" t="s">
        <v>113</v>
      </c>
      <c r="E18" s="76">
        <v>0.96499999999999997</v>
      </c>
      <c r="F18" s="75">
        <v>0.97</v>
      </c>
      <c r="G18" s="76">
        <v>0.97499999999999998</v>
      </c>
      <c r="H18" s="74">
        <v>0.98199999999999998</v>
      </c>
      <c r="I18" s="74">
        <v>0.98599999999999999</v>
      </c>
      <c r="J18" s="75">
        <v>0.99</v>
      </c>
      <c r="K18" s="74">
        <v>0.99099999999999999</v>
      </c>
      <c r="L18" s="74">
        <v>0.99299999999999999</v>
      </c>
      <c r="M18" s="76">
        <v>0.995</v>
      </c>
      <c r="N18" s="59">
        <f t="shared" si="0"/>
        <v>0.98199999999999998</v>
      </c>
      <c r="O18" s="59">
        <f t="shared" si="1"/>
        <v>0.98599999999999999</v>
      </c>
      <c r="P18" s="59">
        <f t="shared" si="2"/>
        <v>0.99</v>
      </c>
      <c r="Q18" s="56" t="s">
        <v>114</v>
      </c>
      <c r="R18" s="57" t="s">
        <v>110</v>
      </c>
      <c r="S18" s="1"/>
      <c r="T18" s="1"/>
      <c r="U18" s="1"/>
      <c r="V18" s="1"/>
      <c r="W18" s="1"/>
      <c r="X18" s="1"/>
      <c r="Y18" s="1"/>
      <c r="Z18" s="1"/>
    </row>
    <row r="19" spans="1:26" ht="32.25" customHeight="1" x14ac:dyDescent="0.3">
      <c r="A19" s="16" t="s">
        <v>100</v>
      </c>
      <c r="B19" s="16" t="s">
        <v>138</v>
      </c>
      <c r="C19" s="16" t="s">
        <v>139</v>
      </c>
      <c r="D19" s="16" t="s">
        <v>113</v>
      </c>
      <c r="E19" s="75">
        <f t="shared" ref="E19:M19" si="6">100% - E18</f>
        <v>3.5000000000000031E-2</v>
      </c>
      <c r="F19" s="75">
        <f t="shared" si="6"/>
        <v>3.0000000000000027E-2</v>
      </c>
      <c r="G19" s="75">
        <f t="shared" si="6"/>
        <v>2.5000000000000022E-2</v>
      </c>
      <c r="H19" s="75">
        <f t="shared" si="6"/>
        <v>1.8000000000000016E-2</v>
      </c>
      <c r="I19" s="76">
        <f t="shared" si="6"/>
        <v>1.4000000000000012E-2</v>
      </c>
      <c r="J19" s="76">
        <f t="shared" si="6"/>
        <v>1.0000000000000009E-2</v>
      </c>
      <c r="K19" s="74">
        <f t="shared" si="6"/>
        <v>9.000000000000008E-3</v>
      </c>
      <c r="L19" s="74">
        <f t="shared" si="6"/>
        <v>7.0000000000000062E-3</v>
      </c>
      <c r="M19" s="74">
        <f t="shared" si="6"/>
        <v>5.0000000000000044E-3</v>
      </c>
      <c r="N19" s="59">
        <f t="shared" si="0"/>
        <v>1.8000000000000016E-2</v>
      </c>
      <c r="O19" s="59">
        <f t="shared" si="1"/>
        <v>1.4000000000000012E-2</v>
      </c>
      <c r="P19" s="59">
        <f t="shared" si="2"/>
        <v>1.0000000000000009E-2</v>
      </c>
      <c r="Q19" s="56" t="s">
        <v>114</v>
      </c>
      <c r="R19" s="57" t="s">
        <v>110</v>
      </c>
      <c r="S19" s="1"/>
      <c r="T19" s="1"/>
      <c r="U19" s="1"/>
      <c r="V19" s="1"/>
      <c r="W19" s="1"/>
      <c r="X19" s="1"/>
      <c r="Y19" s="1"/>
      <c r="Z19" s="1"/>
    </row>
    <row r="20" spans="1:26" ht="32.25" customHeight="1" x14ac:dyDescent="0.3">
      <c r="A20" s="16" t="s">
        <v>100</v>
      </c>
      <c r="B20" s="16" t="s">
        <v>140</v>
      </c>
      <c r="C20" s="16" t="s">
        <v>141</v>
      </c>
      <c r="D20" s="16" t="s">
        <v>108</v>
      </c>
      <c r="E20" s="54">
        <f t="shared" ref="E20:M20" si="7">E21+E22</f>
        <v>6000</v>
      </c>
      <c r="F20" s="54">
        <f t="shared" si="7"/>
        <v>6507.5</v>
      </c>
      <c r="G20" s="54">
        <f t="shared" si="7"/>
        <v>7705</v>
      </c>
      <c r="H20" s="54">
        <f t="shared" si="7"/>
        <v>24500</v>
      </c>
      <c r="I20" s="54">
        <f t="shared" si="7"/>
        <v>62094.3</v>
      </c>
      <c r="J20" s="54">
        <f t="shared" si="7"/>
        <v>-44819.6</v>
      </c>
      <c r="K20" s="54">
        <f t="shared" si="7"/>
        <v>20000</v>
      </c>
      <c r="L20" s="54">
        <f t="shared" si="7"/>
        <v>15954.15</v>
      </c>
      <c r="M20" s="54">
        <f t="shared" si="7"/>
        <v>26463</v>
      </c>
      <c r="N20" s="55">
        <f t="shared" si="0"/>
        <v>24500</v>
      </c>
      <c r="O20" s="55">
        <f t="shared" si="1"/>
        <v>62094.3</v>
      </c>
      <c r="P20" s="55">
        <f t="shared" si="2"/>
        <v>-44819.6</v>
      </c>
      <c r="Q20" s="56" t="s">
        <v>142</v>
      </c>
      <c r="R20" s="57" t="s">
        <v>110</v>
      </c>
      <c r="S20" s="1"/>
      <c r="T20" s="1"/>
      <c r="U20" s="1"/>
      <c r="V20" s="1"/>
      <c r="W20" s="1"/>
      <c r="X20" s="1"/>
      <c r="Y20" s="1"/>
      <c r="Z20" s="1"/>
    </row>
    <row r="21" spans="1:26" ht="32.25" customHeight="1" x14ac:dyDescent="0.3">
      <c r="A21" s="16" t="s">
        <v>100</v>
      </c>
      <c r="B21" s="16" t="s">
        <v>143</v>
      </c>
      <c r="C21" s="16" t="s">
        <v>144</v>
      </c>
      <c r="D21" s="16" t="s">
        <v>108</v>
      </c>
      <c r="E21" s="54">
        <f>E14</f>
        <v>5950</v>
      </c>
      <c r="F21" s="54">
        <f>F14-E14*E16</f>
        <v>6455.75</v>
      </c>
      <c r="G21" s="54">
        <f>G14-F14*F16</f>
        <v>11352</v>
      </c>
      <c r="H21" s="54">
        <f>H14</f>
        <v>13900</v>
      </c>
      <c r="I21" s="54">
        <f>I14-H14*H16</f>
        <v>9353.5</v>
      </c>
      <c r="J21" s="54">
        <f>J14-I14*I16</f>
        <v>17196.300000000003</v>
      </c>
      <c r="K21" s="54">
        <f>K14</f>
        <v>19850</v>
      </c>
      <c r="L21" s="54">
        <f>L14-K14*K16</f>
        <v>15902.8</v>
      </c>
      <c r="M21" s="54">
        <f>M14-L14*L16</f>
        <v>26311.599999999999</v>
      </c>
      <c r="N21" s="55">
        <f t="shared" si="0"/>
        <v>13900</v>
      </c>
      <c r="O21" s="55">
        <f t="shared" si="1"/>
        <v>9353.5</v>
      </c>
      <c r="P21" s="55">
        <f t="shared" si="2"/>
        <v>17196.300000000003</v>
      </c>
      <c r="Q21" s="56" t="s">
        <v>114</v>
      </c>
      <c r="R21" s="57" t="s">
        <v>110</v>
      </c>
      <c r="S21" s="1"/>
      <c r="T21" s="1"/>
      <c r="U21" s="1"/>
      <c r="V21" s="1"/>
      <c r="W21" s="1"/>
      <c r="X21" s="1"/>
      <c r="Y21" s="1"/>
      <c r="Z21" s="1"/>
    </row>
    <row r="22" spans="1:26" ht="32.25" customHeight="1" x14ac:dyDescent="0.3">
      <c r="A22" s="16" t="s">
        <v>100</v>
      </c>
      <c r="B22" s="16" t="s">
        <v>145</v>
      </c>
      <c r="C22" s="16" t="s">
        <v>146</v>
      </c>
      <c r="D22" s="16" t="s">
        <v>108</v>
      </c>
      <c r="E22" s="54">
        <f>E15</f>
        <v>50</v>
      </c>
      <c r="F22" s="54">
        <f>F15-E15*E18</f>
        <v>51.75</v>
      </c>
      <c r="G22" s="54">
        <f>G15-F15*F18</f>
        <v>-3647</v>
      </c>
      <c r="H22" s="54">
        <f>H15</f>
        <v>10600</v>
      </c>
      <c r="I22" s="54">
        <f>I15-H15*H18</f>
        <v>52740.800000000003</v>
      </c>
      <c r="J22" s="54">
        <f>J15-I15*I18</f>
        <v>-62015.9</v>
      </c>
      <c r="K22" s="54">
        <f>K15</f>
        <v>150</v>
      </c>
      <c r="L22" s="54">
        <f>L15-K15*K18</f>
        <v>51.349999999999994</v>
      </c>
      <c r="M22" s="54">
        <f>M15-L15*L18</f>
        <v>151.4</v>
      </c>
      <c r="N22" s="55">
        <f t="shared" si="0"/>
        <v>10600</v>
      </c>
      <c r="O22" s="55">
        <f t="shared" si="1"/>
        <v>52740.800000000003</v>
      </c>
      <c r="P22" s="55">
        <f t="shared" si="2"/>
        <v>-62015.9</v>
      </c>
      <c r="Q22" s="56" t="s">
        <v>114</v>
      </c>
      <c r="R22" s="57" t="s">
        <v>110</v>
      </c>
      <c r="S22" s="1"/>
      <c r="T22" s="1"/>
      <c r="U22" s="1"/>
      <c r="V22" s="1"/>
      <c r="W22" s="1"/>
      <c r="X22" s="1"/>
      <c r="Y22" s="1"/>
      <c r="Z22" s="1"/>
    </row>
    <row r="23" spans="1:26" ht="32.25" customHeight="1" x14ac:dyDescent="0.3">
      <c r="A23" s="16" t="s">
        <v>100</v>
      </c>
      <c r="B23" s="16" t="s">
        <v>147</v>
      </c>
      <c r="C23" s="16" t="s">
        <v>148</v>
      </c>
      <c r="D23" s="16" t="s">
        <v>149</v>
      </c>
      <c r="E23" s="54">
        <v>0.8</v>
      </c>
      <c r="F23" s="54">
        <v>1</v>
      </c>
      <c r="G23" s="54">
        <v>1.2</v>
      </c>
      <c r="H23" s="54">
        <v>1</v>
      </c>
      <c r="I23" s="54">
        <v>1.2</v>
      </c>
      <c r="J23" s="54">
        <v>1.5</v>
      </c>
      <c r="K23" s="54">
        <v>1.2</v>
      </c>
      <c r="L23" s="54">
        <v>1.5</v>
      </c>
      <c r="M23" s="54">
        <v>1.8</v>
      </c>
      <c r="N23" s="55">
        <f t="shared" si="0"/>
        <v>1</v>
      </c>
      <c r="O23" s="55">
        <f t="shared" si="1"/>
        <v>1.2</v>
      </c>
      <c r="P23" s="55">
        <f t="shared" si="2"/>
        <v>1.5</v>
      </c>
      <c r="Q23" s="56" t="s">
        <v>150</v>
      </c>
      <c r="R23" s="57" t="s">
        <v>110</v>
      </c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3">
      <c r="A24" s="51" t="s">
        <v>151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2"/>
      <c r="S24" s="53"/>
      <c r="T24" s="53"/>
      <c r="U24" s="53"/>
      <c r="V24" s="53"/>
      <c r="W24" s="53"/>
      <c r="X24" s="53"/>
      <c r="Y24" s="53"/>
      <c r="Z24" s="53"/>
    </row>
    <row r="25" spans="1:26" ht="32.25" customHeight="1" x14ac:dyDescent="0.3">
      <c r="A25" s="16" t="s">
        <v>152</v>
      </c>
      <c r="B25" s="16" t="s">
        <v>153</v>
      </c>
      <c r="C25" s="16" t="s">
        <v>154</v>
      </c>
      <c r="D25" s="16" t="s">
        <v>155</v>
      </c>
      <c r="E25" s="54">
        <v>1</v>
      </c>
      <c r="F25" s="54">
        <v>3</v>
      </c>
      <c r="G25" s="54">
        <v>5</v>
      </c>
      <c r="H25" s="54">
        <v>10</v>
      </c>
      <c r="I25" s="54">
        <v>30</v>
      </c>
      <c r="J25" s="54">
        <v>10</v>
      </c>
      <c r="K25" s="54">
        <v>3</v>
      </c>
      <c r="L25" s="54">
        <v>8</v>
      </c>
      <c r="M25" s="54">
        <v>15</v>
      </c>
      <c r="N25" s="55">
        <f t="shared" ref="N25:N33" si="8">IF($B$2="Thận trọng",E25,IF($B$2="Cơ sở",H25,K25))</f>
        <v>10</v>
      </c>
      <c r="O25" s="55">
        <f t="shared" ref="O25:O33" si="9">IF($B$2="Thận trọng",F25,IF($B$2="Cơ sở",I25,L25))</f>
        <v>30</v>
      </c>
      <c r="P25" s="55">
        <f t="shared" ref="P25:P33" si="10">IF($B$2="Thận trọng",G25,IF($B$2="Cơ sở",J25,M25))</f>
        <v>10</v>
      </c>
      <c r="Q25" s="56" t="s">
        <v>156</v>
      </c>
      <c r="R25" s="57" t="s">
        <v>110</v>
      </c>
      <c r="S25" s="1"/>
      <c r="T25" s="1"/>
      <c r="U25" s="1"/>
      <c r="V25" s="1"/>
      <c r="W25" s="1"/>
      <c r="X25" s="1"/>
      <c r="Y25" s="1"/>
      <c r="Z25" s="1"/>
    </row>
    <row r="26" spans="1:26" ht="32.25" customHeight="1" x14ac:dyDescent="0.3">
      <c r="A26" s="16" t="s">
        <v>152</v>
      </c>
      <c r="B26" s="16" t="s">
        <v>157</v>
      </c>
      <c r="C26" s="16" t="s">
        <v>158</v>
      </c>
      <c r="D26" s="16" t="s">
        <v>155</v>
      </c>
      <c r="E26" s="54">
        <v>3</v>
      </c>
      <c r="F26" s="54">
        <v>10</v>
      </c>
      <c r="G26" s="54">
        <v>20</v>
      </c>
      <c r="H26" s="54">
        <v>50</v>
      </c>
      <c r="I26" s="54">
        <v>150</v>
      </c>
      <c r="J26" s="54">
        <v>30</v>
      </c>
      <c r="K26" s="54">
        <v>8</v>
      </c>
      <c r="L26" s="54">
        <v>22</v>
      </c>
      <c r="M26" s="54">
        <v>40</v>
      </c>
      <c r="N26" s="55">
        <f t="shared" si="8"/>
        <v>50</v>
      </c>
      <c r="O26" s="55">
        <f t="shared" si="9"/>
        <v>150</v>
      </c>
      <c r="P26" s="55">
        <f t="shared" si="10"/>
        <v>30</v>
      </c>
      <c r="Q26" s="56" t="s">
        <v>159</v>
      </c>
      <c r="R26" s="57" t="s">
        <v>110</v>
      </c>
      <c r="S26" s="1"/>
      <c r="T26" s="1"/>
      <c r="U26" s="1"/>
      <c r="V26" s="1"/>
      <c r="W26" s="1"/>
      <c r="X26" s="1"/>
      <c r="Y26" s="1"/>
      <c r="Z26" s="1"/>
    </row>
    <row r="27" spans="1:26" ht="17.25" customHeight="1" x14ac:dyDescent="0.3">
      <c r="A27" s="16" t="s">
        <v>152</v>
      </c>
      <c r="B27" s="16" t="s">
        <v>160</v>
      </c>
      <c r="C27" s="77" t="s">
        <v>161</v>
      </c>
      <c r="D27" s="16" t="s">
        <v>155</v>
      </c>
      <c r="E27" s="54">
        <v>1</v>
      </c>
      <c r="F27" s="54">
        <v>2</v>
      </c>
      <c r="G27" s="54">
        <v>3</v>
      </c>
      <c r="H27" s="54">
        <v>2</v>
      </c>
      <c r="I27" s="54">
        <v>3</v>
      </c>
      <c r="J27" s="54">
        <v>5</v>
      </c>
      <c r="K27" s="54">
        <v>3</v>
      </c>
      <c r="L27" s="54">
        <v>5</v>
      </c>
      <c r="M27" s="54">
        <v>7</v>
      </c>
      <c r="N27" s="55">
        <f t="shared" si="8"/>
        <v>2</v>
      </c>
      <c r="O27" s="55">
        <f t="shared" si="9"/>
        <v>3</v>
      </c>
      <c r="P27" s="55">
        <f t="shared" si="10"/>
        <v>5</v>
      </c>
      <c r="Q27" s="56" t="s">
        <v>162</v>
      </c>
      <c r="R27" s="57" t="s">
        <v>110</v>
      </c>
      <c r="S27" s="1"/>
      <c r="T27" s="1"/>
      <c r="U27" s="1"/>
      <c r="V27" s="1"/>
      <c r="W27" s="1"/>
      <c r="X27" s="1"/>
      <c r="Y27" s="1"/>
      <c r="Z27" s="1"/>
    </row>
    <row r="28" spans="1:26" ht="17.25" customHeight="1" x14ac:dyDescent="0.3">
      <c r="A28" s="16" t="s">
        <v>152</v>
      </c>
      <c r="B28" s="16" t="s">
        <v>163</v>
      </c>
      <c r="C28" s="77" t="s">
        <v>164</v>
      </c>
      <c r="D28" s="16" t="s">
        <v>155</v>
      </c>
      <c r="E28" s="54">
        <v>3</v>
      </c>
      <c r="F28" s="54">
        <v>7</v>
      </c>
      <c r="G28" s="54">
        <v>12</v>
      </c>
      <c r="H28" s="54">
        <v>5</v>
      </c>
      <c r="I28" s="54">
        <v>10</v>
      </c>
      <c r="J28" s="54">
        <v>20</v>
      </c>
      <c r="K28" s="54">
        <v>8</v>
      </c>
      <c r="L28" s="54">
        <v>14</v>
      </c>
      <c r="M28" s="54">
        <v>28</v>
      </c>
      <c r="N28" s="55">
        <f t="shared" si="8"/>
        <v>5</v>
      </c>
      <c r="O28" s="55">
        <f t="shared" si="9"/>
        <v>10</v>
      </c>
      <c r="P28" s="55">
        <f t="shared" si="10"/>
        <v>20</v>
      </c>
      <c r="Q28" s="56" t="s">
        <v>162</v>
      </c>
      <c r="R28" s="57" t="s">
        <v>110</v>
      </c>
      <c r="S28" s="1"/>
      <c r="T28" s="1"/>
      <c r="U28" s="1"/>
      <c r="V28" s="1"/>
      <c r="W28" s="1"/>
      <c r="X28" s="1"/>
      <c r="Y28" s="1"/>
      <c r="Z28" s="1"/>
    </row>
    <row r="29" spans="1:26" ht="17.25" customHeight="1" x14ac:dyDescent="0.3">
      <c r="A29" s="16" t="s">
        <v>152</v>
      </c>
      <c r="B29" s="16" t="s">
        <v>165</v>
      </c>
      <c r="C29" s="16" t="s">
        <v>166</v>
      </c>
      <c r="D29" s="16" t="s">
        <v>155</v>
      </c>
      <c r="E29" s="54">
        <f t="shared" ref="E29:M29" si="11">SUM(E27+E28)</f>
        <v>4</v>
      </c>
      <c r="F29" s="54">
        <f t="shared" si="11"/>
        <v>9</v>
      </c>
      <c r="G29" s="54">
        <f t="shared" si="11"/>
        <v>15</v>
      </c>
      <c r="H29" s="54">
        <f t="shared" si="11"/>
        <v>7</v>
      </c>
      <c r="I29" s="54">
        <f t="shared" si="11"/>
        <v>13</v>
      </c>
      <c r="J29" s="54">
        <f t="shared" si="11"/>
        <v>25</v>
      </c>
      <c r="K29" s="54">
        <f t="shared" si="11"/>
        <v>11</v>
      </c>
      <c r="L29" s="54">
        <f t="shared" si="11"/>
        <v>19</v>
      </c>
      <c r="M29" s="54">
        <f t="shared" si="11"/>
        <v>35</v>
      </c>
      <c r="N29" s="55">
        <f t="shared" si="8"/>
        <v>7</v>
      </c>
      <c r="O29" s="55">
        <f t="shared" si="9"/>
        <v>13</v>
      </c>
      <c r="P29" s="55">
        <f t="shared" si="10"/>
        <v>25</v>
      </c>
      <c r="Q29" s="56" t="s">
        <v>167</v>
      </c>
      <c r="R29" s="57" t="s">
        <v>110</v>
      </c>
      <c r="S29" s="1"/>
      <c r="T29" s="1"/>
      <c r="U29" s="1"/>
      <c r="V29" s="1"/>
      <c r="W29" s="1"/>
      <c r="X29" s="1"/>
      <c r="Y29" s="1"/>
      <c r="Z29" s="1"/>
    </row>
    <row r="30" spans="1:26" ht="32.25" customHeight="1" x14ac:dyDescent="0.3">
      <c r="A30" s="16" t="s">
        <v>152</v>
      </c>
      <c r="B30" s="16" t="s">
        <v>168</v>
      </c>
      <c r="C30" s="16" t="s">
        <v>169</v>
      </c>
      <c r="D30" s="16" t="s">
        <v>113</v>
      </c>
      <c r="E30" s="58">
        <v>0.5</v>
      </c>
      <c r="F30" s="58">
        <v>0.5</v>
      </c>
      <c r="G30" s="58">
        <v>0.5</v>
      </c>
      <c r="H30" s="58">
        <v>0.5</v>
      </c>
      <c r="I30" s="58">
        <v>0.5</v>
      </c>
      <c r="J30" s="58">
        <v>0.5</v>
      </c>
      <c r="K30" s="58">
        <v>0.5</v>
      </c>
      <c r="L30" s="58">
        <v>0.5</v>
      </c>
      <c r="M30" s="58">
        <v>0.5</v>
      </c>
      <c r="N30" s="59">
        <f t="shared" si="8"/>
        <v>0.5</v>
      </c>
      <c r="O30" s="59">
        <f t="shared" si="9"/>
        <v>0.5</v>
      </c>
      <c r="P30" s="59">
        <f t="shared" si="10"/>
        <v>0.5</v>
      </c>
      <c r="Q30" s="56" t="s">
        <v>170</v>
      </c>
      <c r="R30" s="57" t="s">
        <v>110</v>
      </c>
      <c r="S30" s="1"/>
      <c r="T30" s="1"/>
      <c r="U30" s="1"/>
      <c r="V30" s="1"/>
      <c r="W30" s="1"/>
      <c r="X30" s="1"/>
      <c r="Y30" s="1"/>
      <c r="Z30" s="1"/>
    </row>
    <row r="31" spans="1:26" ht="32.25" customHeight="1" x14ac:dyDescent="0.3">
      <c r="A31" s="16" t="s">
        <v>152</v>
      </c>
      <c r="B31" s="16" t="s">
        <v>171</v>
      </c>
      <c r="C31" s="16" t="s">
        <v>172</v>
      </c>
      <c r="D31" s="16" t="s">
        <v>108</v>
      </c>
      <c r="E31" s="54">
        <v>3000</v>
      </c>
      <c r="F31" s="54">
        <v>4000</v>
      </c>
      <c r="G31" s="54">
        <v>5000</v>
      </c>
      <c r="H31" s="54">
        <v>4000</v>
      </c>
      <c r="I31" s="54">
        <v>5000</v>
      </c>
      <c r="J31" s="54">
        <v>6000</v>
      </c>
      <c r="K31" s="54">
        <v>5000</v>
      </c>
      <c r="L31" s="54">
        <v>6500</v>
      </c>
      <c r="M31" s="54">
        <v>8000</v>
      </c>
      <c r="N31" s="55">
        <f t="shared" si="8"/>
        <v>4000</v>
      </c>
      <c r="O31" s="55">
        <f t="shared" si="9"/>
        <v>5000</v>
      </c>
      <c r="P31" s="55">
        <f t="shared" si="10"/>
        <v>6000</v>
      </c>
      <c r="Q31" s="56" t="s">
        <v>173</v>
      </c>
      <c r="R31" s="57" t="s">
        <v>174</v>
      </c>
      <c r="S31" s="1"/>
      <c r="T31" s="1"/>
      <c r="U31" s="1"/>
      <c r="V31" s="1"/>
      <c r="W31" s="1"/>
      <c r="X31" s="1"/>
      <c r="Y31" s="1"/>
      <c r="Z31" s="1"/>
    </row>
    <row r="32" spans="1:26" ht="17.25" customHeight="1" x14ac:dyDescent="0.3">
      <c r="A32" s="16" t="s">
        <v>152</v>
      </c>
      <c r="B32" s="16" t="s">
        <v>175</v>
      </c>
      <c r="C32" s="16" t="s">
        <v>176</v>
      </c>
      <c r="D32" s="16" t="s">
        <v>108</v>
      </c>
      <c r="E32" s="54">
        <v>300</v>
      </c>
      <c r="F32" s="54">
        <v>400</v>
      </c>
      <c r="G32" s="54">
        <v>500</v>
      </c>
      <c r="H32" s="54">
        <v>400</v>
      </c>
      <c r="I32" s="54">
        <v>600</v>
      </c>
      <c r="J32" s="54">
        <v>800</v>
      </c>
      <c r="K32" s="54">
        <v>500</v>
      </c>
      <c r="L32" s="54">
        <v>800</v>
      </c>
      <c r="M32" s="54">
        <v>1000</v>
      </c>
      <c r="N32" s="55">
        <f t="shared" si="8"/>
        <v>400</v>
      </c>
      <c r="O32" s="55">
        <f t="shared" si="9"/>
        <v>600</v>
      </c>
      <c r="P32" s="55">
        <f t="shared" si="10"/>
        <v>800</v>
      </c>
      <c r="Q32" s="56" t="s">
        <v>177</v>
      </c>
      <c r="R32" s="57" t="s">
        <v>110</v>
      </c>
      <c r="S32" s="1"/>
      <c r="T32" s="1"/>
      <c r="U32" s="1"/>
      <c r="V32" s="1"/>
      <c r="W32" s="1"/>
      <c r="X32" s="1"/>
      <c r="Y32" s="1"/>
      <c r="Z32" s="1"/>
    </row>
    <row r="33" spans="1:26" ht="17.25" customHeight="1" x14ac:dyDescent="0.3">
      <c r="A33" s="16" t="s">
        <v>152</v>
      </c>
      <c r="B33" s="16" t="s">
        <v>178</v>
      </c>
      <c r="C33" s="16" t="s">
        <v>179</v>
      </c>
      <c r="D33" s="16" t="s">
        <v>113</v>
      </c>
      <c r="E33" s="58">
        <v>0.8</v>
      </c>
      <c r="F33" s="58">
        <v>0.85</v>
      </c>
      <c r="G33" s="58">
        <v>0.88</v>
      </c>
      <c r="H33" s="58">
        <v>0.85</v>
      </c>
      <c r="I33" s="58">
        <v>0.88</v>
      </c>
      <c r="J33" s="58">
        <v>0.9</v>
      </c>
      <c r="K33" s="58">
        <v>0.88</v>
      </c>
      <c r="L33" s="58">
        <v>0.92</v>
      </c>
      <c r="M33" s="58">
        <v>0.94</v>
      </c>
      <c r="N33" s="59">
        <f t="shared" si="8"/>
        <v>0.85</v>
      </c>
      <c r="O33" s="59">
        <f t="shared" si="9"/>
        <v>0.88</v>
      </c>
      <c r="P33" s="59">
        <f t="shared" si="10"/>
        <v>0.9</v>
      </c>
      <c r="Q33" s="56" t="s">
        <v>177</v>
      </c>
      <c r="R33" s="57" t="s">
        <v>110</v>
      </c>
      <c r="S33" s="1"/>
      <c r="T33" s="1"/>
      <c r="U33" s="1"/>
      <c r="V33" s="1"/>
      <c r="W33" s="1"/>
      <c r="X33" s="1"/>
      <c r="Y33" s="1"/>
      <c r="Z33" s="1"/>
    </row>
    <row r="34" spans="1:26" ht="19.5" customHeight="1" x14ac:dyDescent="0.3">
      <c r="A34" s="51" t="s">
        <v>180</v>
      </c>
      <c r="B34" s="51"/>
      <c r="C34" s="51" t="s">
        <v>181</v>
      </c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2"/>
      <c r="S34" s="53"/>
      <c r="T34" s="53"/>
      <c r="U34" s="53"/>
      <c r="V34" s="53"/>
      <c r="W34" s="53"/>
      <c r="X34" s="53"/>
      <c r="Y34" s="53"/>
      <c r="Z34" s="53"/>
    </row>
    <row r="35" spans="1:26" ht="48" customHeight="1" x14ac:dyDescent="0.3">
      <c r="A35" s="16" t="s">
        <v>182</v>
      </c>
      <c r="B35" s="16" t="s">
        <v>183</v>
      </c>
      <c r="C35" s="78" t="s">
        <v>184</v>
      </c>
      <c r="D35" s="16" t="s">
        <v>185</v>
      </c>
      <c r="E35" s="79">
        <v>29000</v>
      </c>
      <c r="F35" s="79">
        <f>E35*(1+10.47%)</f>
        <v>32036.3</v>
      </c>
      <c r="G35" s="79">
        <f>E35*(1+10.47%)</f>
        <v>32036.3</v>
      </c>
      <c r="H35" s="79">
        <v>39000</v>
      </c>
      <c r="I35" s="79">
        <f>H35*(1+10.47%)</f>
        <v>43083.3</v>
      </c>
      <c r="J35" s="79">
        <f>H35*(1+10.47%)^2</f>
        <v>47594.121510000004</v>
      </c>
      <c r="K35" s="79">
        <v>49000</v>
      </c>
      <c r="L35" s="79">
        <f>K35*(1+10.47%)</f>
        <v>54130.3</v>
      </c>
      <c r="M35" s="79">
        <f>K35*(1+10.47%)^2</f>
        <v>59797.742410000006</v>
      </c>
      <c r="N35" s="80">
        <f t="shared" ref="N35:N43" si="12">IF($B$2="Thận trọng",E35,IF($B$2="Cơ sở",H35,K35))</f>
        <v>39000</v>
      </c>
      <c r="O35" s="80">
        <f t="shared" ref="O35:O43" si="13">IF($B$2="Thận trọng",F35,IF($B$2="Cơ sở",I35,L35))</f>
        <v>43083.3</v>
      </c>
      <c r="P35" s="80">
        <f t="shared" ref="P35:P43" si="14">IF($B$2="Thận trọng",G35,IF($B$2="Cơ sở",J35,M35))</f>
        <v>47594.121510000004</v>
      </c>
      <c r="Q35" s="56" t="s">
        <v>186</v>
      </c>
      <c r="R35" s="57" t="s">
        <v>187</v>
      </c>
      <c r="S35" s="1"/>
      <c r="T35" s="1"/>
      <c r="U35" s="1"/>
      <c r="V35" s="1"/>
      <c r="W35" s="1"/>
      <c r="X35" s="1"/>
      <c r="Y35" s="1"/>
      <c r="Z35" s="1"/>
    </row>
    <row r="36" spans="1:26" ht="32.25" customHeight="1" x14ac:dyDescent="0.3">
      <c r="A36" s="16" t="s">
        <v>182</v>
      </c>
      <c r="B36" s="16" t="s">
        <v>188</v>
      </c>
      <c r="C36" s="78" t="s">
        <v>189</v>
      </c>
      <c r="D36" s="16" t="s">
        <v>190</v>
      </c>
      <c r="E36" s="79">
        <v>299000</v>
      </c>
      <c r="F36" s="79">
        <f>E36*(1+10%)</f>
        <v>328900</v>
      </c>
      <c r="G36" s="79">
        <f>E36*(1+10%)^2</f>
        <v>361790.00000000006</v>
      </c>
      <c r="H36" s="79">
        <v>399000</v>
      </c>
      <c r="I36" s="79">
        <f>H36*(1+10%)</f>
        <v>438900.00000000006</v>
      </c>
      <c r="J36" s="79">
        <f>H36*(1+10%)^2</f>
        <v>482790.00000000006</v>
      </c>
      <c r="K36" s="79">
        <v>499000</v>
      </c>
      <c r="L36" s="79">
        <f>K36*(1+10%)</f>
        <v>548900</v>
      </c>
      <c r="M36" s="79">
        <f>K36*(1+10%)^2</f>
        <v>603790.00000000012</v>
      </c>
      <c r="N36" s="80">
        <f t="shared" si="12"/>
        <v>399000</v>
      </c>
      <c r="O36" s="80">
        <f t="shared" si="13"/>
        <v>438900.00000000006</v>
      </c>
      <c r="P36" s="80">
        <f t="shared" si="14"/>
        <v>482790.00000000006</v>
      </c>
      <c r="Q36" s="56" t="s">
        <v>191</v>
      </c>
      <c r="R36" s="57" t="s">
        <v>110</v>
      </c>
      <c r="S36" s="1"/>
      <c r="T36" s="1"/>
      <c r="U36" s="1"/>
      <c r="V36" s="1"/>
      <c r="W36" s="1"/>
      <c r="X36" s="1"/>
      <c r="Y36" s="1"/>
      <c r="Z36" s="1"/>
    </row>
    <row r="37" spans="1:26" ht="32.25" customHeight="1" x14ac:dyDescent="0.3">
      <c r="A37" s="16" t="s">
        <v>182</v>
      </c>
      <c r="B37" s="16" t="s">
        <v>192</v>
      </c>
      <c r="C37" s="78" t="s">
        <v>193</v>
      </c>
      <c r="D37" s="16" t="s">
        <v>185</v>
      </c>
      <c r="E37" s="79">
        <v>799000</v>
      </c>
      <c r="F37" s="79">
        <f>E37*(1+10.47%)^12</f>
        <v>2639240.8672859538</v>
      </c>
      <c r="G37" s="79">
        <f>E37*(1+10.47%)^24</f>
        <v>8717887.804195635</v>
      </c>
      <c r="H37" s="79">
        <v>899000</v>
      </c>
      <c r="I37" s="79">
        <f>H37*(1+10.47%)</f>
        <v>993125.3</v>
      </c>
      <c r="J37" s="79">
        <f>H37*(1+10.47%)^2</f>
        <v>1097105.5189100001</v>
      </c>
      <c r="K37" s="79">
        <v>999000</v>
      </c>
      <c r="L37" s="79">
        <f>K37*(1+10.47%)</f>
        <v>1103595.3</v>
      </c>
      <c r="M37" s="79">
        <f>K37*(1+10.47%)^2</f>
        <v>1219141.7279100001</v>
      </c>
      <c r="N37" s="80">
        <f t="shared" si="12"/>
        <v>899000</v>
      </c>
      <c r="O37" s="80">
        <f t="shared" si="13"/>
        <v>993125.3</v>
      </c>
      <c r="P37" s="80">
        <f t="shared" si="14"/>
        <v>1097105.5189100001</v>
      </c>
      <c r="Q37" s="56" t="s">
        <v>191</v>
      </c>
      <c r="R37" s="57" t="s">
        <v>110</v>
      </c>
      <c r="S37" s="1"/>
      <c r="T37" s="1"/>
      <c r="U37" s="1"/>
      <c r="V37" s="1"/>
      <c r="W37" s="1"/>
      <c r="X37" s="1"/>
      <c r="Y37" s="1"/>
      <c r="Z37" s="1"/>
    </row>
    <row r="38" spans="1:26" ht="32.25" customHeight="1" x14ac:dyDescent="0.3">
      <c r="A38" s="16" t="s">
        <v>182</v>
      </c>
      <c r="B38" s="16" t="s">
        <v>192</v>
      </c>
      <c r="C38" s="78" t="s">
        <v>194</v>
      </c>
      <c r="D38" s="16" t="s">
        <v>185</v>
      </c>
      <c r="E38" s="79">
        <v>7900000</v>
      </c>
      <c r="F38" s="79">
        <f>E38*(1+10%)</f>
        <v>8690000</v>
      </c>
      <c r="G38" s="79">
        <f>E38*(1+10%)^2</f>
        <v>9559000.0000000019</v>
      </c>
      <c r="H38" s="79">
        <v>8900000</v>
      </c>
      <c r="I38" s="79">
        <f>H38*(1+10%)</f>
        <v>9790000</v>
      </c>
      <c r="J38" s="79">
        <f>H38*(1+10%)^2</f>
        <v>10769000.000000002</v>
      </c>
      <c r="K38" s="79">
        <v>9900000</v>
      </c>
      <c r="L38" s="79">
        <f>K38*(1+10%)</f>
        <v>10890000</v>
      </c>
      <c r="M38" s="79">
        <f>K38*(1+10%)^2</f>
        <v>11979000.000000002</v>
      </c>
      <c r="N38" s="80">
        <f t="shared" si="12"/>
        <v>8900000</v>
      </c>
      <c r="O38" s="80">
        <f t="shared" si="13"/>
        <v>9790000</v>
      </c>
      <c r="P38" s="80">
        <f t="shared" si="14"/>
        <v>10769000.000000002</v>
      </c>
      <c r="Q38" s="56" t="s">
        <v>191</v>
      </c>
      <c r="R38" s="57" t="s">
        <v>110</v>
      </c>
      <c r="S38" s="1"/>
      <c r="T38" s="1"/>
      <c r="U38" s="1"/>
      <c r="V38" s="1"/>
      <c r="W38" s="1"/>
      <c r="X38" s="1"/>
      <c r="Y38" s="1"/>
      <c r="Z38" s="1"/>
    </row>
    <row r="39" spans="1:26" ht="32.25" customHeight="1" x14ac:dyDescent="0.3">
      <c r="A39" s="16" t="s">
        <v>182</v>
      </c>
      <c r="B39" s="16" t="s">
        <v>195</v>
      </c>
      <c r="C39" s="16" t="s">
        <v>196</v>
      </c>
      <c r="D39" s="16" t="s">
        <v>197</v>
      </c>
      <c r="E39" s="79">
        <v>27000000</v>
      </c>
      <c r="F39" s="79">
        <v>27000000</v>
      </c>
      <c r="G39" s="79">
        <v>27000000</v>
      </c>
      <c r="H39" s="79">
        <v>30000000</v>
      </c>
      <c r="I39" s="79">
        <v>30000000</v>
      </c>
      <c r="J39" s="79">
        <v>30000000</v>
      </c>
      <c r="K39" s="79">
        <v>33000000</v>
      </c>
      <c r="L39" s="79">
        <v>33000000</v>
      </c>
      <c r="M39" s="79">
        <v>33000000</v>
      </c>
      <c r="N39" s="80">
        <f t="shared" si="12"/>
        <v>30000000</v>
      </c>
      <c r="O39" s="80">
        <f t="shared" si="13"/>
        <v>30000000</v>
      </c>
      <c r="P39" s="80">
        <f t="shared" si="14"/>
        <v>30000000</v>
      </c>
      <c r="Q39" s="56" t="s">
        <v>191</v>
      </c>
      <c r="R39" s="57" t="s">
        <v>110</v>
      </c>
      <c r="S39" s="1"/>
      <c r="T39" s="1"/>
      <c r="U39" s="1"/>
      <c r="V39" s="1"/>
      <c r="W39" s="1"/>
      <c r="X39" s="1"/>
      <c r="Y39" s="1"/>
      <c r="Z39" s="1"/>
    </row>
    <row r="40" spans="1:26" ht="32.25" customHeight="1" x14ac:dyDescent="0.3">
      <c r="A40" s="16" t="s">
        <v>182</v>
      </c>
      <c r="B40" s="16" t="s">
        <v>198</v>
      </c>
      <c r="C40" s="16" t="s">
        <v>199</v>
      </c>
      <c r="D40" s="16" t="s">
        <v>197</v>
      </c>
      <c r="E40" s="79">
        <v>9000000</v>
      </c>
      <c r="F40" s="79">
        <v>9000000</v>
      </c>
      <c r="G40" s="79">
        <v>9000000</v>
      </c>
      <c r="H40" s="79">
        <v>10000000</v>
      </c>
      <c r="I40" s="79">
        <v>10000000</v>
      </c>
      <c r="J40" s="79">
        <v>10000000</v>
      </c>
      <c r="K40" s="79">
        <v>11000000</v>
      </c>
      <c r="L40" s="79">
        <v>11000000</v>
      </c>
      <c r="M40" s="79">
        <v>11000000</v>
      </c>
      <c r="N40" s="80">
        <f t="shared" si="12"/>
        <v>10000000</v>
      </c>
      <c r="O40" s="80">
        <f t="shared" si="13"/>
        <v>10000000</v>
      </c>
      <c r="P40" s="80">
        <f t="shared" si="14"/>
        <v>10000000</v>
      </c>
      <c r="Q40" s="56" t="s">
        <v>191</v>
      </c>
      <c r="R40" s="57" t="s">
        <v>110</v>
      </c>
      <c r="S40" s="1"/>
      <c r="T40" s="1"/>
      <c r="U40" s="1"/>
      <c r="V40" s="1"/>
      <c r="W40" s="1"/>
      <c r="X40" s="1"/>
      <c r="Y40" s="1"/>
      <c r="Z40" s="1"/>
    </row>
    <row r="41" spans="1:26" ht="32.25" customHeight="1" x14ac:dyDescent="0.3">
      <c r="A41" s="16" t="s">
        <v>182</v>
      </c>
      <c r="B41" s="16" t="s">
        <v>200</v>
      </c>
      <c r="C41" s="16" t="s">
        <v>201</v>
      </c>
      <c r="D41" s="16" t="s">
        <v>197</v>
      </c>
      <c r="E41" s="79">
        <v>1800000</v>
      </c>
      <c r="F41" s="79">
        <v>1800000</v>
      </c>
      <c r="G41" s="79">
        <v>1800000</v>
      </c>
      <c r="H41" s="79">
        <v>2000000</v>
      </c>
      <c r="I41" s="79">
        <v>2000000</v>
      </c>
      <c r="J41" s="79">
        <v>2000000</v>
      </c>
      <c r="K41" s="79">
        <v>2200000</v>
      </c>
      <c r="L41" s="79">
        <v>2200000</v>
      </c>
      <c r="M41" s="79">
        <v>2200000</v>
      </c>
      <c r="N41" s="80">
        <f t="shared" si="12"/>
        <v>2000000</v>
      </c>
      <c r="O41" s="80">
        <f t="shared" si="13"/>
        <v>2000000</v>
      </c>
      <c r="P41" s="80">
        <f t="shared" si="14"/>
        <v>2000000</v>
      </c>
      <c r="Q41" s="56" t="s">
        <v>191</v>
      </c>
      <c r="R41" s="57" t="s">
        <v>110</v>
      </c>
      <c r="S41" s="1"/>
      <c r="T41" s="1"/>
      <c r="U41" s="1"/>
      <c r="V41" s="1"/>
      <c r="W41" s="1"/>
      <c r="X41" s="1"/>
      <c r="Y41" s="1"/>
      <c r="Z41" s="1"/>
    </row>
    <row r="42" spans="1:26" ht="32.25" customHeight="1" x14ac:dyDescent="0.3">
      <c r="A42" s="16" t="s">
        <v>182</v>
      </c>
      <c r="B42" s="16" t="s">
        <v>202</v>
      </c>
      <c r="C42" s="16">
        <v>60000000</v>
      </c>
      <c r="D42" s="16" t="s">
        <v>197</v>
      </c>
      <c r="E42" s="79">
        <v>13500000</v>
      </c>
      <c r="F42" s="79">
        <v>13500000</v>
      </c>
      <c r="G42" s="79">
        <v>13500000</v>
      </c>
      <c r="H42" s="79">
        <v>15000000</v>
      </c>
      <c r="I42" s="79">
        <v>15000000</v>
      </c>
      <c r="J42" s="79">
        <v>15000000</v>
      </c>
      <c r="K42" s="79">
        <v>18000000</v>
      </c>
      <c r="L42" s="79">
        <v>18000000</v>
      </c>
      <c r="M42" s="79">
        <v>18000000</v>
      </c>
      <c r="N42" s="80">
        <f t="shared" si="12"/>
        <v>15000000</v>
      </c>
      <c r="O42" s="80">
        <f t="shared" si="13"/>
        <v>15000000</v>
      </c>
      <c r="P42" s="80">
        <f t="shared" si="14"/>
        <v>15000000</v>
      </c>
      <c r="Q42" s="56" t="s">
        <v>191</v>
      </c>
      <c r="R42" s="57" t="s">
        <v>110</v>
      </c>
      <c r="S42" s="1"/>
      <c r="T42" s="1"/>
      <c r="U42" s="1"/>
      <c r="V42" s="1"/>
      <c r="W42" s="1"/>
      <c r="X42" s="1"/>
      <c r="Y42" s="1"/>
      <c r="Z42" s="1"/>
    </row>
    <row r="43" spans="1:26" ht="17.25" customHeight="1" x14ac:dyDescent="0.3">
      <c r="A43" s="16" t="s">
        <v>182</v>
      </c>
      <c r="B43" s="16" t="s">
        <v>203</v>
      </c>
      <c r="C43" s="16" t="s">
        <v>204</v>
      </c>
      <c r="D43" s="16" t="s">
        <v>113</v>
      </c>
      <c r="E43" s="81">
        <v>0.15</v>
      </c>
      <c r="F43" s="81">
        <v>0.2</v>
      </c>
      <c r="G43" s="81">
        <v>0.25</v>
      </c>
      <c r="H43" s="81">
        <v>0.2</v>
      </c>
      <c r="I43" s="81">
        <v>0.25</v>
      </c>
      <c r="J43" s="81">
        <v>0.3</v>
      </c>
      <c r="K43" s="81">
        <v>0.25</v>
      </c>
      <c r="L43" s="81">
        <v>0.35</v>
      </c>
      <c r="M43" s="81">
        <v>0.45</v>
      </c>
      <c r="N43" s="59">
        <f t="shared" si="12"/>
        <v>0.2</v>
      </c>
      <c r="O43" s="59">
        <f t="shared" si="13"/>
        <v>0.25</v>
      </c>
      <c r="P43" s="59">
        <f t="shared" si="14"/>
        <v>0.3</v>
      </c>
      <c r="Q43" s="56" t="s">
        <v>177</v>
      </c>
      <c r="R43" s="57" t="s">
        <v>110</v>
      </c>
      <c r="S43" s="1"/>
      <c r="T43" s="1"/>
      <c r="U43" s="1"/>
      <c r="V43" s="1"/>
      <c r="W43" s="1"/>
      <c r="X43" s="1"/>
      <c r="Y43" s="1"/>
      <c r="Z43" s="1"/>
    </row>
    <row r="44" spans="1:26" ht="19.5" customHeight="1" x14ac:dyDescent="0.3">
      <c r="A44" s="51" t="s">
        <v>205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2"/>
      <c r="S44" s="53"/>
      <c r="T44" s="53"/>
      <c r="U44" s="53"/>
      <c r="V44" s="53"/>
      <c r="W44" s="53"/>
      <c r="X44" s="53"/>
      <c r="Y44" s="53"/>
      <c r="Z44" s="53"/>
    </row>
    <row r="45" spans="1:26" ht="17.25" customHeight="1" x14ac:dyDescent="0.3">
      <c r="A45" s="16" t="s">
        <v>206</v>
      </c>
      <c r="B45" s="16" t="s">
        <v>207</v>
      </c>
      <c r="C45" s="16" t="s">
        <v>208</v>
      </c>
      <c r="D45" s="16" t="s">
        <v>209</v>
      </c>
      <c r="E45" s="82">
        <v>200</v>
      </c>
      <c r="F45" s="82">
        <v>180</v>
      </c>
      <c r="G45" s="82">
        <v>160</v>
      </c>
      <c r="H45" s="82">
        <v>180</v>
      </c>
      <c r="I45" s="82">
        <v>160</v>
      </c>
      <c r="J45" s="82">
        <v>140</v>
      </c>
      <c r="K45" s="82">
        <v>160</v>
      </c>
      <c r="L45" s="82">
        <v>140</v>
      </c>
      <c r="M45" s="82">
        <v>120</v>
      </c>
      <c r="N45" s="80">
        <f t="shared" ref="N45:N57" si="15">IF($B$2="Thận trọng",E45,IF($B$2="Cơ sở",H45,K45))</f>
        <v>180</v>
      </c>
      <c r="O45" s="80">
        <f t="shared" ref="O45:O57" si="16">IF($B$2="Thận trọng",F45,IF($B$2="Cơ sở",I45,L45))</f>
        <v>160</v>
      </c>
      <c r="P45" s="80">
        <f t="shared" ref="P45:P57" si="17">IF($B$2="Thận trọng",G45,IF($B$2="Cơ sở",J45,M45))</f>
        <v>140</v>
      </c>
      <c r="Q45" s="56" t="s">
        <v>117</v>
      </c>
      <c r="R45" s="57" t="s">
        <v>110</v>
      </c>
      <c r="S45" s="1"/>
      <c r="T45" s="1"/>
      <c r="U45" s="1"/>
      <c r="V45" s="1"/>
      <c r="W45" s="1"/>
      <c r="X45" s="1"/>
      <c r="Y45" s="1"/>
      <c r="Z45" s="1"/>
    </row>
    <row r="46" spans="1:26" ht="48" customHeight="1" x14ac:dyDescent="0.3">
      <c r="A46" s="16" t="s">
        <v>206</v>
      </c>
      <c r="B46" s="16" t="s">
        <v>210</v>
      </c>
      <c r="C46" s="16" t="s">
        <v>211</v>
      </c>
      <c r="D46" s="16" t="s">
        <v>212</v>
      </c>
      <c r="E46" s="82">
        <v>1000</v>
      </c>
      <c r="F46" s="82">
        <v>1100</v>
      </c>
      <c r="G46" s="82">
        <v>1200</v>
      </c>
      <c r="H46" s="82">
        <v>900</v>
      </c>
      <c r="I46" s="82">
        <v>1000</v>
      </c>
      <c r="J46" s="82">
        <v>1100</v>
      </c>
      <c r="K46" s="82">
        <v>800</v>
      </c>
      <c r="L46" s="82">
        <v>900</v>
      </c>
      <c r="M46" s="82">
        <v>1000</v>
      </c>
      <c r="N46" s="80">
        <f t="shared" si="15"/>
        <v>900</v>
      </c>
      <c r="O46" s="80">
        <f t="shared" si="16"/>
        <v>1000</v>
      </c>
      <c r="P46" s="80">
        <f t="shared" si="17"/>
        <v>1100</v>
      </c>
      <c r="Q46" s="56" t="s">
        <v>213</v>
      </c>
      <c r="R46" s="57" t="s">
        <v>110</v>
      </c>
      <c r="S46" s="1"/>
      <c r="T46" s="1"/>
      <c r="U46" s="1"/>
      <c r="V46" s="1"/>
      <c r="W46" s="1"/>
      <c r="X46" s="1"/>
      <c r="Y46" s="1"/>
      <c r="Z46" s="1"/>
    </row>
    <row r="47" spans="1:26" ht="48" customHeight="1" x14ac:dyDescent="0.3">
      <c r="A47" s="16" t="s">
        <v>206</v>
      </c>
      <c r="B47" s="16" t="s">
        <v>214</v>
      </c>
      <c r="C47" s="16" t="s">
        <v>215</v>
      </c>
      <c r="D47" s="16" t="s">
        <v>212</v>
      </c>
      <c r="E47" s="82">
        <v>280</v>
      </c>
      <c r="F47" s="82">
        <v>330</v>
      </c>
      <c r="G47" s="82">
        <v>380</v>
      </c>
      <c r="H47" s="82">
        <v>250</v>
      </c>
      <c r="I47" s="82">
        <v>300</v>
      </c>
      <c r="J47" s="82">
        <v>350</v>
      </c>
      <c r="K47" s="82">
        <v>220</v>
      </c>
      <c r="L47" s="82">
        <v>270</v>
      </c>
      <c r="M47" s="82">
        <v>320</v>
      </c>
      <c r="N47" s="80">
        <f t="shared" si="15"/>
        <v>250</v>
      </c>
      <c r="O47" s="80">
        <f t="shared" si="16"/>
        <v>300</v>
      </c>
      <c r="P47" s="80">
        <f t="shared" si="17"/>
        <v>350</v>
      </c>
      <c r="Q47" s="56" t="s">
        <v>216</v>
      </c>
      <c r="R47" s="57" t="s">
        <v>110</v>
      </c>
      <c r="S47" s="1"/>
      <c r="T47" s="1"/>
      <c r="U47" s="1"/>
      <c r="V47" s="1"/>
      <c r="W47" s="1"/>
      <c r="X47" s="1"/>
      <c r="Y47" s="1"/>
      <c r="Z47" s="1"/>
    </row>
    <row r="48" spans="1:26" ht="48" customHeight="1" x14ac:dyDescent="0.3">
      <c r="A48" s="16" t="s">
        <v>206</v>
      </c>
      <c r="B48" s="16" t="s">
        <v>217</v>
      </c>
      <c r="C48" s="16" t="s">
        <v>218</v>
      </c>
      <c r="D48" s="16" t="s">
        <v>212</v>
      </c>
      <c r="E48" s="82">
        <v>140</v>
      </c>
      <c r="F48" s="82">
        <v>170</v>
      </c>
      <c r="G48" s="82">
        <v>200</v>
      </c>
      <c r="H48" s="82">
        <v>120</v>
      </c>
      <c r="I48" s="82">
        <v>150</v>
      </c>
      <c r="J48" s="82">
        <v>180</v>
      </c>
      <c r="K48" s="82">
        <v>100</v>
      </c>
      <c r="L48" s="82">
        <v>130</v>
      </c>
      <c r="M48" s="82">
        <v>160</v>
      </c>
      <c r="N48" s="80">
        <f t="shared" si="15"/>
        <v>120</v>
      </c>
      <c r="O48" s="80">
        <f t="shared" si="16"/>
        <v>150</v>
      </c>
      <c r="P48" s="80">
        <f t="shared" si="17"/>
        <v>180</v>
      </c>
      <c r="Q48" s="56" t="s">
        <v>216</v>
      </c>
      <c r="R48" s="57" t="s">
        <v>110</v>
      </c>
      <c r="S48" s="1"/>
      <c r="T48" s="1"/>
      <c r="U48" s="1"/>
      <c r="V48" s="1"/>
      <c r="W48" s="1"/>
      <c r="X48" s="1"/>
      <c r="Y48" s="1"/>
      <c r="Z48" s="1"/>
    </row>
    <row r="49" spans="1:26" ht="32.25" customHeight="1" x14ac:dyDescent="0.3">
      <c r="A49" s="16" t="s">
        <v>206</v>
      </c>
      <c r="B49" s="16" t="s">
        <v>219</v>
      </c>
      <c r="C49" s="16" t="s">
        <v>220</v>
      </c>
      <c r="D49" s="16" t="s">
        <v>221</v>
      </c>
      <c r="E49" s="58">
        <v>0.03</v>
      </c>
      <c r="F49" s="58">
        <v>0.03</v>
      </c>
      <c r="G49" s="58">
        <v>0.03</v>
      </c>
      <c r="H49" s="58">
        <v>2.5000000000000001E-2</v>
      </c>
      <c r="I49" s="58">
        <v>2.5000000000000001E-2</v>
      </c>
      <c r="J49" s="58">
        <v>2.5000000000000001E-2</v>
      </c>
      <c r="K49" s="58">
        <v>2.1999999999999999E-2</v>
      </c>
      <c r="L49" s="58">
        <v>2.1999999999999999E-2</v>
      </c>
      <c r="M49" s="58">
        <v>2.1999999999999999E-2</v>
      </c>
      <c r="N49" s="59">
        <f t="shared" si="15"/>
        <v>2.5000000000000001E-2</v>
      </c>
      <c r="O49" s="59">
        <f t="shared" si="16"/>
        <v>2.5000000000000001E-2</v>
      </c>
      <c r="P49" s="59">
        <f t="shared" si="17"/>
        <v>2.5000000000000001E-2</v>
      </c>
      <c r="Q49" s="56" t="s">
        <v>216</v>
      </c>
      <c r="R49" s="57" t="s">
        <v>110</v>
      </c>
      <c r="S49" s="1"/>
      <c r="T49" s="1"/>
      <c r="U49" s="1"/>
      <c r="V49" s="1"/>
      <c r="W49" s="1"/>
      <c r="X49" s="1"/>
      <c r="Y49" s="1"/>
      <c r="Z49" s="1"/>
    </row>
    <row r="50" spans="1:26" ht="48" customHeight="1" x14ac:dyDescent="0.3">
      <c r="A50" s="16" t="s">
        <v>206</v>
      </c>
      <c r="B50" s="16" t="s">
        <v>222</v>
      </c>
      <c r="C50" s="16" t="s">
        <v>223</v>
      </c>
      <c r="D50" s="16" t="s">
        <v>212</v>
      </c>
      <c r="E50" s="82">
        <v>8000</v>
      </c>
      <c r="F50" s="82">
        <v>8500</v>
      </c>
      <c r="G50" s="82">
        <v>9000</v>
      </c>
      <c r="H50" s="82">
        <v>7000</v>
      </c>
      <c r="I50" s="82">
        <v>7500</v>
      </c>
      <c r="J50" s="82">
        <v>8000</v>
      </c>
      <c r="K50" s="82">
        <v>6500</v>
      </c>
      <c r="L50" s="82">
        <v>7000</v>
      </c>
      <c r="M50" s="82">
        <v>7500</v>
      </c>
      <c r="N50" s="80">
        <f t="shared" si="15"/>
        <v>7000</v>
      </c>
      <c r="O50" s="80">
        <f t="shared" si="16"/>
        <v>7500</v>
      </c>
      <c r="P50" s="80">
        <f t="shared" si="17"/>
        <v>8000</v>
      </c>
      <c r="Q50" s="56" t="s">
        <v>216</v>
      </c>
      <c r="R50" s="57" t="s">
        <v>110</v>
      </c>
      <c r="S50" s="1"/>
      <c r="T50" s="1"/>
      <c r="U50" s="1"/>
      <c r="V50" s="1"/>
      <c r="W50" s="1"/>
      <c r="X50" s="1"/>
      <c r="Y50" s="1"/>
      <c r="Z50" s="1"/>
    </row>
    <row r="51" spans="1:26" ht="32.25" customHeight="1" x14ac:dyDescent="0.3">
      <c r="A51" s="16" t="s">
        <v>206</v>
      </c>
      <c r="B51" s="16" t="s">
        <v>224</v>
      </c>
      <c r="C51" s="16" t="s">
        <v>225</v>
      </c>
      <c r="D51" s="16" t="s">
        <v>197</v>
      </c>
      <c r="E51" s="82">
        <v>13000000</v>
      </c>
      <c r="F51" s="82">
        <v>13000000</v>
      </c>
      <c r="G51" s="82">
        <v>13000000</v>
      </c>
      <c r="H51" s="82">
        <v>12000000</v>
      </c>
      <c r="I51" s="82">
        <v>12000000</v>
      </c>
      <c r="J51" s="82">
        <v>12000000</v>
      </c>
      <c r="K51" s="82">
        <v>11000000</v>
      </c>
      <c r="L51" s="82">
        <v>11000000</v>
      </c>
      <c r="M51" s="82">
        <v>11000000</v>
      </c>
      <c r="N51" s="80">
        <f t="shared" si="15"/>
        <v>12000000</v>
      </c>
      <c r="O51" s="80">
        <f t="shared" si="16"/>
        <v>12000000</v>
      </c>
      <c r="P51" s="80">
        <f t="shared" si="17"/>
        <v>12000000</v>
      </c>
      <c r="Q51" s="56" t="s">
        <v>216</v>
      </c>
      <c r="R51" s="57" t="s">
        <v>110</v>
      </c>
      <c r="S51" s="1"/>
      <c r="T51" s="1"/>
      <c r="U51" s="1"/>
      <c r="V51" s="1"/>
      <c r="W51" s="1"/>
      <c r="X51" s="1"/>
      <c r="Y51" s="1"/>
      <c r="Z51" s="1"/>
    </row>
    <row r="52" spans="1:26" ht="17.25" customHeight="1" x14ac:dyDescent="0.3">
      <c r="A52" s="16" t="s">
        <v>206</v>
      </c>
      <c r="B52" s="16" t="s">
        <v>226</v>
      </c>
      <c r="C52" s="16" t="s">
        <v>227</v>
      </c>
      <c r="D52" s="16" t="s">
        <v>197</v>
      </c>
      <c r="E52" s="82">
        <v>4500000</v>
      </c>
      <c r="F52" s="82">
        <v>4500000</v>
      </c>
      <c r="G52" s="82">
        <v>4500000</v>
      </c>
      <c r="H52" s="82">
        <v>4000000</v>
      </c>
      <c r="I52" s="82">
        <v>4000000</v>
      </c>
      <c r="J52" s="82">
        <v>4000000</v>
      </c>
      <c r="K52" s="82">
        <v>3500000</v>
      </c>
      <c r="L52" s="82">
        <v>3500000</v>
      </c>
      <c r="M52" s="82">
        <v>3500000</v>
      </c>
      <c r="N52" s="80">
        <f t="shared" si="15"/>
        <v>4000000</v>
      </c>
      <c r="O52" s="80">
        <f t="shared" si="16"/>
        <v>4000000</v>
      </c>
      <c r="P52" s="80">
        <f t="shared" si="17"/>
        <v>4000000</v>
      </c>
      <c r="Q52" s="56" t="s">
        <v>216</v>
      </c>
      <c r="R52" s="57" t="s">
        <v>110</v>
      </c>
      <c r="S52" s="1"/>
      <c r="T52" s="1"/>
      <c r="U52" s="1"/>
      <c r="V52" s="1"/>
      <c r="W52" s="1"/>
      <c r="X52" s="1"/>
      <c r="Y52" s="1"/>
      <c r="Z52" s="1"/>
    </row>
    <row r="53" spans="1:26" ht="32.25" customHeight="1" x14ac:dyDescent="0.3">
      <c r="A53" s="16" t="s">
        <v>206</v>
      </c>
      <c r="B53" s="16" t="s">
        <v>228</v>
      </c>
      <c r="C53" s="16" t="s">
        <v>229</v>
      </c>
      <c r="D53" s="16" t="s">
        <v>230</v>
      </c>
      <c r="E53" s="58">
        <v>0.06</v>
      </c>
      <c r="F53" s="58">
        <v>0.06</v>
      </c>
      <c r="G53" s="58">
        <v>0.06</v>
      </c>
      <c r="H53" s="58">
        <v>0.05</v>
      </c>
      <c r="I53" s="58">
        <v>0.05</v>
      </c>
      <c r="J53" s="58">
        <v>0.05</v>
      </c>
      <c r="K53" s="58">
        <v>4.4999999999999998E-2</v>
      </c>
      <c r="L53" s="58">
        <v>4.4999999999999998E-2</v>
      </c>
      <c r="M53" s="58">
        <v>4.4999999999999998E-2</v>
      </c>
      <c r="N53" s="59">
        <f t="shared" si="15"/>
        <v>0.05</v>
      </c>
      <c r="O53" s="59">
        <f t="shared" si="16"/>
        <v>0.05</v>
      </c>
      <c r="P53" s="59">
        <f t="shared" si="17"/>
        <v>0.05</v>
      </c>
      <c r="Q53" s="56" t="s">
        <v>216</v>
      </c>
      <c r="R53" s="57" t="s">
        <v>110</v>
      </c>
      <c r="S53" s="1"/>
      <c r="T53" s="1"/>
      <c r="U53" s="1"/>
      <c r="V53" s="1"/>
      <c r="W53" s="1"/>
      <c r="X53" s="1"/>
      <c r="Y53" s="1"/>
      <c r="Z53" s="1"/>
    </row>
    <row r="54" spans="1:26" ht="32.25" customHeight="1" x14ac:dyDescent="0.3">
      <c r="A54" s="16" t="s">
        <v>206</v>
      </c>
      <c r="B54" s="16" t="s">
        <v>231</v>
      </c>
      <c r="C54" s="16" t="s">
        <v>232</v>
      </c>
      <c r="D54" s="16" t="s">
        <v>233</v>
      </c>
      <c r="E54" s="82">
        <v>250000</v>
      </c>
      <c r="F54" s="82">
        <v>300000</v>
      </c>
      <c r="G54" s="82">
        <v>350000</v>
      </c>
      <c r="H54" s="82">
        <v>220000</v>
      </c>
      <c r="I54" s="82">
        <v>260000</v>
      </c>
      <c r="J54" s="82">
        <v>300000</v>
      </c>
      <c r="K54" s="82">
        <v>200000</v>
      </c>
      <c r="L54" s="82">
        <v>240000</v>
      </c>
      <c r="M54" s="82">
        <v>280000</v>
      </c>
      <c r="N54" s="80">
        <f t="shared" si="15"/>
        <v>220000</v>
      </c>
      <c r="O54" s="80">
        <f t="shared" si="16"/>
        <v>260000</v>
      </c>
      <c r="P54" s="80">
        <f t="shared" si="17"/>
        <v>300000</v>
      </c>
      <c r="Q54" s="56" t="s">
        <v>216</v>
      </c>
      <c r="R54" s="57" t="s">
        <v>110</v>
      </c>
      <c r="S54" s="1"/>
      <c r="T54" s="1"/>
      <c r="U54" s="1"/>
      <c r="V54" s="1"/>
      <c r="W54" s="1"/>
      <c r="X54" s="1"/>
      <c r="Y54" s="1"/>
      <c r="Z54" s="1"/>
    </row>
    <row r="55" spans="1:26" ht="32.25" customHeight="1" x14ac:dyDescent="0.3">
      <c r="A55" s="16" t="s">
        <v>206</v>
      </c>
      <c r="B55" s="16" t="s">
        <v>234</v>
      </c>
      <c r="C55" s="16" t="s">
        <v>235</v>
      </c>
      <c r="D55" s="16" t="s">
        <v>236</v>
      </c>
      <c r="E55" s="58">
        <v>1.7999999999999999E-2</v>
      </c>
      <c r="F55" s="58">
        <v>1.7999999999999999E-2</v>
      </c>
      <c r="G55" s="58">
        <v>1.7999999999999999E-2</v>
      </c>
      <c r="H55" s="58">
        <v>1.4999999999999999E-2</v>
      </c>
      <c r="I55" s="58">
        <v>1.4999999999999999E-2</v>
      </c>
      <c r="J55" s="58">
        <v>1.4999999999999999E-2</v>
      </c>
      <c r="K55" s="58">
        <v>1.2E-2</v>
      </c>
      <c r="L55" s="58">
        <v>1.2E-2</v>
      </c>
      <c r="M55" s="58">
        <v>1.2E-2</v>
      </c>
      <c r="N55" s="59">
        <f t="shared" si="15"/>
        <v>1.4999999999999999E-2</v>
      </c>
      <c r="O55" s="59">
        <f t="shared" si="16"/>
        <v>1.4999999999999999E-2</v>
      </c>
      <c r="P55" s="59">
        <f t="shared" si="17"/>
        <v>1.4999999999999999E-2</v>
      </c>
      <c r="Q55" s="56" t="s">
        <v>216</v>
      </c>
      <c r="R55" s="57" t="s">
        <v>110</v>
      </c>
      <c r="S55" s="1"/>
      <c r="T55" s="1"/>
      <c r="U55" s="1"/>
      <c r="V55" s="1"/>
      <c r="W55" s="1"/>
      <c r="X55" s="1"/>
      <c r="Y55" s="1"/>
      <c r="Z55" s="1"/>
    </row>
    <row r="56" spans="1:26" ht="17.25" customHeight="1" x14ac:dyDescent="0.3">
      <c r="A56" s="16" t="s">
        <v>206</v>
      </c>
      <c r="B56" s="16" t="s">
        <v>237</v>
      </c>
      <c r="C56" s="16" t="s">
        <v>238</v>
      </c>
      <c r="D56" s="16" t="s">
        <v>239</v>
      </c>
      <c r="E56" s="54">
        <v>0.05</v>
      </c>
      <c r="F56" s="54">
        <v>0.08</v>
      </c>
      <c r="G56" s="54">
        <v>0.1</v>
      </c>
      <c r="H56" s="54">
        <v>0.05</v>
      </c>
      <c r="I56" s="54">
        <v>0.08</v>
      </c>
      <c r="J56" s="54">
        <v>0.1</v>
      </c>
      <c r="K56" s="54">
        <v>0.06</v>
      </c>
      <c r="L56" s="54">
        <v>0.1</v>
      </c>
      <c r="M56" s="54">
        <v>0.12</v>
      </c>
      <c r="N56" s="55">
        <f t="shared" si="15"/>
        <v>0.05</v>
      </c>
      <c r="O56" s="55">
        <f t="shared" si="16"/>
        <v>0.08</v>
      </c>
      <c r="P56" s="55">
        <f t="shared" si="17"/>
        <v>0.1</v>
      </c>
      <c r="Q56" s="56" t="s">
        <v>216</v>
      </c>
      <c r="R56" s="57" t="s">
        <v>110</v>
      </c>
      <c r="S56" s="1"/>
      <c r="T56" s="1"/>
      <c r="U56" s="1"/>
      <c r="V56" s="1"/>
      <c r="W56" s="1"/>
      <c r="X56" s="1"/>
      <c r="Y56" s="1"/>
      <c r="Z56" s="1"/>
    </row>
    <row r="57" spans="1:26" ht="17.25" customHeight="1" x14ac:dyDescent="0.3">
      <c r="A57" s="16" t="s">
        <v>206</v>
      </c>
      <c r="B57" s="16" t="s">
        <v>240</v>
      </c>
      <c r="C57" s="16" t="s">
        <v>241</v>
      </c>
      <c r="D57" s="16" t="s">
        <v>242</v>
      </c>
      <c r="E57" s="82">
        <v>300000</v>
      </c>
      <c r="F57" s="82">
        <v>300000</v>
      </c>
      <c r="G57" s="82">
        <v>300000</v>
      </c>
      <c r="H57" s="82">
        <v>200000</v>
      </c>
      <c r="I57" s="82">
        <v>200000</v>
      </c>
      <c r="J57" s="82">
        <v>200000</v>
      </c>
      <c r="K57" s="82">
        <v>100000</v>
      </c>
      <c r="L57" s="82">
        <v>100000</v>
      </c>
      <c r="M57" s="82">
        <v>100000</v>
      </c>
      <c r="N57" s="80">
        <f t="shared" si="15"/>
        <v>200000</v>
      </c>
      <c r="O57" s="80">
        <f t="shared" si="16"/>
        <v>200000</v>
      </c>
      <c r="P57" s="80">
        <f t="shared" si="17"/>
        <v>200000</v>
      </c>
      <c r="Q57" s="56" t="s">
        <v>216</v>
      </c>
      <c r="R57" s="57" t="s">
        <v>110</v>
      </c>
      <c r="S57" s="1"/>
      <c r="T57" s="1"/>
      <c r="U57" s="1"/>
      <c r="V57" s="1"/>
      <c r="W57" s="1"/>
      <c r="X57" s="1"/>
      <c r="Y57" s="1"/>
      <c r="Z57" s="1"/>
    </row>
    <row r="58" spans="1:26" ht="19.5" customHeight="1" x14ac:dyDescent="0.3">
      <c r="A58" s="51" t="s">
        <v>243</v>
      </c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2"/>
      <c r="S58" s="53"/>
      <c r="T58" s="53"/>
      <c r="U58" s="53"/>
      <c r="V58" s="53"/>
      <c r="W58" s="53"/>
      <c r="X58" s="53"/>
      <c r="Y58" s="53"/>
      <c r="Z58" s="53"/>
    </row>
    <row r="59" spans="1:26" ht="17.25" customHeight="1" x14ac:dyDescent="0.3">
      <c r="A59" s="16" t="s">
        <v>244</v>
      </c>
      <c r="B59" s="16" t="s">
        <v>245</v>
      </c>
      <c r="C59" s="16" t="s">
        <v>246</v>
      </c>
      <c r="D59" s="16" t="s">
        <v>113</v>
      </c>
      <c r="E59" s="81">
        <v>0.2</v>
      </c>
      <c r="F59" s="81">
        <v>0.2</v>
      </c>
      <c r="G59" s="81">
        <v>0.2</v>
      </c>
      <c r="H59" s="81">
        <v>0.2</v>
      </c>
      <c r="I59" s="81">
        <v>0.2</v>
      </c>
      <c r="J59" s="81">
        <v>0.2</v>
      </c>
      <c r="K59" s="81">
        <v>0.2</v>
      </c>
      <c r="L59" s="81">
        <v>0.2</v>
      </c>
      <c r="M59" s="81">
        <v>0.2</v>
      </c>
      <c r="N59" s="59">
        <f t="shared" ref="N59:N73" si="18">IF($B$2="Thận trọng",E59,IF($B$2="Cơ sở",H59,K59))</f>
        <v>0.2</v>
      </c>
      <c r="O59" s="59">
        <f t="shared" ref="O59:O73" si="19">IF($B$2="Thận trọng",F59,IF($B$2="Cơ sở",I59,L59))</f>
        <v>0.2</v>
      </c>
      <c r="P59" s="59">
        <f t="shared" ref="P59:P73" si="20">IF($B$2="Thận trọng",G59,IF($B$2="Cơ sở",J59,M59))</f>
        <v>0.2</v>
      </c>
      <c r="Q59" s="56" t="s">
        <v>216</v>
      </c>
      <c r="R59" s="57" t="s">
        <v>110</v>
      </c>
      <c r="S59" s="1"/>
      <c r="T59" s="1"/>
      <c r="U59" s="1"/>
      <c r="V59" s="1"/>
      <c r="W59" s="1"/>
      <c r="X59" s="1"/>
      <c r="Y59" s="1"/>
      <c r="Z59" s="1"/>
    </row>
    <row r="60" spans="1:26" ht="17.25" customHeight="1" x14ac:dyDescent="0.3">
      <c r="A60" s="16" t="s">
        <v>244</v>
      </c>
      <c r="B60" s="16" t="s">
        <v>247</v>
      </c>
      <c r="C60" s="16" t="s">
        <v>248</v>
      </c>
      <c r="D60" s="16" t="s">
        <v>113</v>
      </c>
      <c r="E60" s="81">
        <v>0.2</v>
      </c>
      <c r="F60" s="81">
        <v>0.2</v>
      </c>
      <c r="G60" s="81">
        <v>0.2</v>
      </c>
      <c r="H60" s="81">
        <v>0.18</v>
      </c>
      <c r="I60" s="81">
        <v>0.18</v>
      </c>
      <c r="J60" s="81">
        <v>0.18</v>
      </c>
      <c r="K60" s="81">
        <v>0.15</v>
      </c>
      <c r="L60" s="81">
        <v>0.15</v>
      </c>
      <c r="M60" s="81">
        <v>0.15</v>
      </c>
      <c r="N60" s="59">
        <f t="shared" si="18"/>
        <v>0.18</v>
      </c>
      <c r="O60" s="59">
        <f t="shared" si="19"/>
        <v>0.18</v>
      </c>
      <c r="P60" s="59">
        <f t="shared" si="20"/>
        <v>0.18</v>
      </c>
      <c r="Q60" s="56" t="s">
        <v>216</v>
      </c>
      <c r="R60" s="57" t="s">
        <v>110</v>
      </c>
      <c r="S60" s="1"/>
      <c r="T60" s="1"/>
      <c r="U60" s="1"/>
      <c r="V60" s="1"/>
      <c r="W60" s="1"/>
      <c r="X60" s="1"/>
      <c r="Y60" s="1"/>
      <c r="Z60" s="1"/>
    </row>
    <row r="61" spans="1:26" ht="17.25" customHeight="1" x14ac:dyDescent="0.3">
      <c r="A61" s="16" t="s">
        <v>244</v>
      </c>
      <c r="B61" s="16" t="s">
        <v>249</v>
      </c>
      <c r="C61" s="16" t="s">
        <v>250</v>
      </c>
      <c r="D61" s="16" t="s">
        <v>113</v>
      </c>
      <c r="E61" s="81">
        <v>0</v>
      </c>
      <c r="F61" s="81">
        <v>0</v>
      </c>
      <c r="G61" s="81">
        <v>0</v>
      </c>
      <c r="H61" s="81">
        <v>0</v>
      </c>
      <c r="I61" s="81">
        <v>0</v>
      </c>
      <c r="J61" s="81">
        <v>0</v>
      </c>
      <c r="K61" s="81">
        <v>0</v>
      </c>
      <c r="L61" s="81">
        <v>0</v>
      </c>
      <c r="M61" s="81">
        <v>0</v>
      </c>
      <c r="N61" s="59">
        <f t="shared" si="18"/>
        <v>0</v>
      </c>
      <c r="O61" s="59">
        <f t="shared" si="19"/>
        <v>0</v>
      </c>
      <c r="P61" s="59">
        <f t="shared" si="20"/>
        <v>0</v>
      </c>
      <c r="Q61" s="56" t="s">
        <v>216</v>
      </c>
      <c r="R61" s="57" t="s">
        <v>110</v>
      </c>
      <c r="S61" s="1"/>
      <c r="T61" s="1"/>
      <c r="U61" s="1"/>
      <c r="V61" s="1"/>
      <c r="W61" s="1"/>
      <c r="X61" s="1"/>
      <c r="Y61" s="1"/>
      <c r="Z61" s="1"/>
    </row>
    <row r="62" spans="1:26" ht="17.25" customHeight="1" x14ac:dyDescent="0.3">
      <c r="A62" s="16" t="s">
        <v>244</v>
      </c>
      <c r="B62" s="16" t="s">
        <v>251</v>
      </c>
      <c r="C62" s="16" t="s">
        <v>252</v>
      </c>
      <c r="D62" s="16" t="s">
        <v>253</v>
      </c>
      <c r="E62" s="81">
        <v>0.1</v>
      </c>
      <c r="F62" s="81">
        <v>0.1</v>
      </c>
      <c r="G62" s="81">
        <v>0.1</v>
      </c>
      <c r="H62" s="81">
        <v>0.1</v>
      </c>
      <c r="I62" s="81">
        <v>0.1</v>
      </c>
      <c r="J62" s="81">
        <v>0.1</v>
      </c>
      <c r="K62" s="81">
        <v>0.09</v>
      </c>
      <c r="L62" s="81">
        <v>0.09</v>
      </c>
      <c r="M62" s="81">
        <v>0.09</v>
      </c>
      <c r="N62" s="59">
        <f t="shared" si="18"/>
        <v>0.1</v>
      </c>
      <c r="O62" s="59">
        <f t="shared" si="19"/>
        <v>0.1</v>
      </c>
      <c r="P62" s="59">
        <f t="shared" si="20"/>
        <v>0.1</v>
      </c>
      <c r="Q62" s="56" t="s">
        <v>216</v>
      </c>
      <c r="R62" s="57" t="s">
        <v>110</v>
      </c>
      <c r="S62" s="1"/>
      <c r="T62" s="1"/>
      <c r="U62" s="1"/>
      <c r="V62" s="1"/>
      <c r="W62" s="1"/>
      <c r="X62" s="1"/>
      <c r="Y62" s="1"/>
      <c r="Z62" s="1"/>
    </row>
    <row r="63" spans="1:26" ht="17.25" customHeight="1" x14ac:dyDescent="0.3">
      <c r="A63" s="16" t="s">
        <v>244</v>
      </c>
      <c r="B63" s="16" t="s">
        <v>254</v>
      </c>
      <c r="C63" s="16" t="s">
        <v>255</v>
      </c>
      <c r="D63" s="16" t="s">
        <v>113</v>
      </c>
      <c r="E63" s="81">
        <v>1</v>
      </c>
      <c r="F63" s="81">
        <v>1</v>
      </c>
      <c r="G63" s="81">
        <v>1</v>
      </c>
      <c r="H63" s="81">
        <v>1</v>
      </c>
      <c r="I63" s="81">
        <v>1</v>
      </c>
      <c r="J63" s="81">
        <v>1</v>
      </c>
      <c r="K63" s="81">
        <v>1</v>
      </c>
      <c r="L63" s="81">
        <v>1</v>
      </c>
      <c r="M63" s="81">
        <v>1</v>
      </c>
      <c r="N63" s="59">
        <f t="shared" si="18"/>
        <v>1</v>
      </c>
      <c r="O63" s="59">
        <f t="shared" si="19"/>
        <v>1</v>
      </c>
      <c r="P63" s="59">
        <f t="shared" si="20"/>
        <v>1</v>
      </c>
      <c r="Q63" s="56" t="s">
        <v>216</v>
      </c>
      <c r="R63" s="57" t="s">
        <v>110</v>
      </c>
      <c r="S63" s="1"/>
      <c r="T63" s="1"/>
      <c r="U63" s="1"/>
      <c r="V63" s="1"/>
      <c r="W63" s="1"/>
      <c r="X63" s="1"/>
      <c r="Y63" s="1"/>
      <c r="Z63" s="1"/>
    </row>
    <row r="64" spans="1:26" ht="32.25" customHeight="1" x14ac:dyDescent="0.3">
      <c r="A64" s="16" t="s">
        <v>244</v>
      </c>
      <c r="B64" s="16" t="s">
        <v>256</v>
      </c>
      <c r="C64" s="16" t="s">
        <v>257</v>
      </c>
      <c r="D64" s="16" t="s">
        <v>258</v>
      </c>
      <c r="E64" s="83">
        <v>1</v>
      </c>
      <c r="F64" s="83">
        <v>0</v>
      </c>
      <c r="G64" s="83">
        <v>0</v>
      </c>
      <c r="H64" s="83">
        <v>1</v>
      </c>
      <c r="I64" s="83">
        <v>0</v>
      </c>
      <c r="J64" s="83">
        <v>0</v>
      </c>
      <c r="K64" s="83">
        <v>1</v>
      </c>
      <c r="L64" s="83">
        <v>0</v>
      </c>
      <c r="M64" s="83">
        <v>0</v>
      </c>
      <c r="N64" s="84">
        <f t="shared" si="18"/>
        <v>1</v>
      </c>
      <c r="O64" s="84">
        <f t="shared" si="19"/>
        <v>0</v>
      </c>
      <c r="P64" s="84">
        <f t="shared" si="20"/>
        <v>0</v>
      </c>
      <c r="Q64" s="56" t="s">
        <v>259</v>
      </c>
      <c r="R64" s="57" t="s">
        <v>110</v>
      </c>
      <c r="S64" s="1"/>
      <c r="T64" s="1"/>
      <c r="U64" s="1"/>
      <c r="V64" s="1"/>
      <c r="W64" s="1"/>
      <c r="X64" s="1"/>
      <c r="Y64" s="1"/>
      <c r="Z64" s="1"/>
    </row>
    <row r="65" spans="1:26" ht="17.25" customHeight="1" x14ac:dyDescent="0.3">
      <c r="A65" s="16" t="s">
        <v>244</v>
      </c>
      <c r="B65" s="16" t="s">
        <v>260</v>
      </c>
      <c r="C65" s="16" t="s">
        <v>261</v>
      </c>
      <c r="D65" s="16" t="s">
        <v>258</v>
      </c>
      <c r="E65" s="83">
        <v>3</v>
      </c>
      <c r="F65" s="83">
        <v>3</v>
      </c>
      <c r="G65" s="83">
        <v>3</v>
      </c>
      <c r="H65" s="83">
        <v>4</v>
      </c>
      <c r="I65" s="83">
        <v>4</v>
      </c>
      <c r="J65" s="83">
        <v>4</v>
      </c>
      <c r="K65" s="83">
        <v>5</v>
      </c>
      <c r="L65" s="83">
        <v>5</v>
      </c>
      <c r="M65" s="83">
        <v>5</v>
      </c>
      <c r="N65" s="84">
        <f t="shared" si="18"/>
        <v>4</v>
      </c>
      <c r="O65" s="84">
        <f t="shared" si="19"/>
        <v>4</v>
      </c>
      <c r="P65" s="84">
        <f t="shared" si="20"/>
        <v>4</v>
      </c>
      <c r="Q65" s="56" t="s">
        <v>117</v>
      </c>
      <c r="R65" s="57" t="s">
        <v>110</v>
      </c>
      <c r="S65" s="1"/>
      <c r="T65" s="1"/>
      <c r="U65" s="1"/>
      <c r="V65" s="1"/>
      <c r="W65" s="1"/>
      <c r="X65" s="1"/>
      <c r="Y65" s="1"/>
      <c r="Z65" s="1"/>
    </row>
    <row r="66" spans="1:26" ht="17.25" customHeight="1" x14ac:dyDescent="0.3">
      <c r="A66" s="16" t="s">
        <v>244</v>
      </c>
      <c r="B66" s="16" t="s">
        <v>262</v>
      </c>
      <c r="C66" s="16" t="s">
        <v>263</v>
      </c>
      <c r="D66" s="16" t="s">
        <v>258</v>
      </c>
      <c r="E66" s="83">
        <v>3</v>
      </c>
      <c r="F66" s="83">
        <v>3</v>
      </c>
      <c r="G66" s="83">
        <v>3</v>
      </c>
      <c r="H66" s="83">
        <v>3</v>
      </c>
      <c r="I66" s="83">
        <v>3</v>
      </c>
      <c r="J66" s="83">
        <v>3</v>
      </c>
      <c r="K66" s="83">
        <v>3</v>
      </c>
      <c r="L66" s="83">
        <v>3</v>
      </c>
      <c r="M66" s="83">
        <v>3</v>
      </c>
      <c r="N66" s="84">
        <f t="shared" si="18"/>
        <v>3</v>
      </c>
      <c r="O66" s="84">
        <f t="shared" si="19"/>
        <v>3</v>
      </c>
      <c r="P66" s="84">
        <f t="shared" si="20"/>
        <v>3</v>
      </c>
      <c r="Q66" s="56" t="s">
        <v>117</v>
      </c>
      <c r="R66" s="57" t="s">
        <v>110</v>
      </c>
      <c r="S66" s="1"/>
      <c r="T66" s="1"/>
      <c r="U66" s="1"/>
      <c r="V66" s="1"/>
      <c r="W66" s="1"/>
      <c r="X66" s="1"/>
      <c r="Y66" s="1"/>
      <c r="Z66" s="1"/>
    </row>
    <row r="67" spans="1:26" ht="32.25" customHeight="1" x14ac:dyDescent="0.3">
      <c r="A67" s="16" t="s">
        <v>244</v>
      </c>
      <c r="B67" s="16" t="s">
        <v>264</v>
      </c>
      <c r="C67" s="16" t="s">
        <v>265</v>
      </c>
      <c r="D67" s="16" t="s">
        <v>266</v>
      </c>
      <c r="E67" s="85">
        <v>2</v>
      </c>
      <c r="F67" s="85">
        <v>2</v>
      </c>
      <c r="G67" s="85">
        <v>2</v>
      </c>
      <c r="H67" s="85">
        <v>2</v>
      </c>
      <c r="I67" s="85">
        <v>2</v>
      </c>
      <c r="J67" s="85">
        <v>2</v>
      </c>
      <c r="K67" s="85">
        <v>2</v>
      </c>
      <c r="L67" s="85">
        <v>2</v>
      </c>
      <c r="M67" s="85">
        <v>2</v>
      </c>
      <c r="N67" s="86">
        <f t="shared" si="18"/>
        <v>2</v>
      </c>
      <c r="O67" s="86">
        <f t="shared" si="19"/>
        <v>2</v>
      </c>
      <c r="P67" s="86">
        <f t="shared" si="20"/>
        <v>2</v>
      </c>
      <c r="Q67" s="56" t="s">
        <v>117</v>
      </c>
      <c r="R67" s="57" t="s">
        <v>110</v>
      </c>
      <c r="S67" s="1"/>
      <c r="T67" s="1"/>
      <c r="U67" s="1"/>
      <c r="V67" s="1"/>
      <c r="W67" s="1"/>
      <c r="X67" s="1"/>
      <c r="Y67" s="1"/>
      <c r="Z67" s="1"/>
    </row>
    <row r="68" spans="1:26" ht="17.25" customHeight="1" x14ac:dyDescent="0.3">
      <c r="A68" s="16" t="s">
        <v>244</v>
      </c>
      <c r="B68" s="16" t="s">
        <v>267</v>
      </c>
      <c r="C68" s="16" t="s">
        <v>268</v>
      </c>
      <c r="D68" s="16" t="s">
        <v>253</v>
      </c>
      <c r="E68" s="81">
        <v>0.08</v>
      </c>
      <c r="F68" s="81">
        <v>0.08</v>
      </c>
      <c r="G68" s="81">
        <v>0.08</v>
      </c>
      <c r="H68" s="81">
        <v>0.1</v>
      </c>
      <c r="I68" s="81">
        <v>0.1</v>
      </c>
      <c r="J68" s="81">
        <v>0.1</v>
      </c>
      <c r="K68" s="81">
        <v>0.12</v>
      </c>
      <c r="L68" s="81">
        <v>0.12</v>
      </c>
      <c r="M68" s="81">
        <v>0.12</v>
      </c>
      <c r="N68" s="59">
        <f t="shared" si="18"/>
        <v>0.1</v>
      </c>
      <c r="O68" s="59">
        <f t="shared" si="19"/>
        <v>0.1</v>
      </c>
      <c r="P68" s="59">
        <f t="shared" si="20"/>
        <v>0.1</v>
      </c>
      <c r="Q68" s="56" t="s">
        <v>117</v>
      </c>
      <c r="R68" s="57" t="s">
        <v>110</v>
      </c>
      <c r="S68" s="1"/>
      <c r="T68" s="1"/>
      <c r="U68" s="1"/>
      <c r="V68" s="1"/>
      <c r="W68" s="1"/>
      <c r="X68" s="1"/>
      <c r="Y68" s="1"/>
      <c r="Z68" s="1"/>
    </row>
    <row r="69" spans="1:26" ht="17.25" customHeight="1" x14ac:dyDescent="0.3">
      <c r="A69" s="16" t="s">
        <v>244</v>
      </c>
      <c r="B69" s="16" t="s">
        <v>269</v>
      </c>
      <c r="C69" s="16" t="s">
        <v>270</v>
      </c>
      <c r="D69" s="16" t="s">
        <v>253</v>
      </c>
      <c r="E69" s="81">
        <v>0.1</v>
      </c>
      <c r="F69" s="81">
        <v>0.1</v>
      </c>
      <c r="G69" s="81">
        <v>0.1</v>
      </c>
      <c r="H69" s="81">
        <v>0.08</v>
      </c>
      <c r="I69" s="81">
        <v>0.08</v>
      </c>
      <c r="J69" s="81">
        <v>0.08</v>
      </c>
      <c r="K69" s="81">
        <v>0.06</v>
      </c>
      <c r="L69" s="81">
        <v>0.06</v>
      </c>
      <c r="M69" s="81">
        <v>0.06</v>
      </c>
      <c r="N69" s="59">
        <f t="shared" si="18"/>
        <v>0.08</v>
      </c>
      <c r="O69" s="59">
        <f t="shared" si="19"/>
        <v>0.08</v>
      </c>
      <c r="P69" s="59">
        <f t="shared" si="20"/>
        <v>0.08</v>
      </c>
      <c r="Q69" s="56" t="s">
        <v>117</v>
      </c>
      <c r="R69" s="57" t="s">
        <v>110</v>
      </c>
      <c r="S69" s="1"/>
      <c r="T69" s="1"/>
      <c r="U69" s="1"/>
      <c r="V69" s="1"/>
      <c r="W69" s="1"/>
      <c r="X69" s="1"/>
      <c r="Y69" s="1"/>
      <c r="Z69" s="1"/>
    </row>
    <row r="70" spans="1:26" ht="17.25" customHeight="1" x14ac:dyDescent="0.3">
      <c r="A70" s="16" t="s">
        <v>244</v>
      </c>
      <c r="B70" s="16" t="s">
        <v>271</v>
      </c>
      <c r="C70" s="16" t="s">
        <v>272</v>
      </c>
      <c r="D70" s="16" t="s">
        <v>253</v>
      </c>
      <c r="E70" s="81">
        <v>0.1</v>
      </c>
      <c r="F70" s="81">
        <v>0.1</v>
      </c>
      <c r="G70" s="81">
        <v>0.1</v>
      </c>
      <c r="H70" s="81">
        <v>0.15</v>
      </c>
      <c r="I70" s="81">
        <v>0.15</v>
      </c>
      <c r="J70" s="81">
        <v>0.15</v>
      </c>
      <c r="K70" s="81">
        <v>0.2</v>
      </c>
      <c r="L70" s="81">
        <v>0.2</v>
      </c>
      <c r="M70" s="81">
        <v>0.2</v>
      </c>
      <c r="N70" s="59">
        <f t="shared" si="18"/>
        <v>0.15</v>
      </c>
      <c r="O70" s="59">
        <f t="shared" si="19"/>
        <v>0.15</v>
      </c>
      <c r="P70" s="59">
        <f t="shared" si="20"/>
        <v>0.15</v>
      </c>
      <c r="Q70" s="56" t="s">
        <v>117</v>
      </c>
      <c r="R70" s="57" t="s">
        <v>110</v>
      </c>
      <c r="S70" s="1"/>
      <c r="T70" s="1"/>
      <c r="U70" s="1"/>
      <c r="V70" s="1"/>
      <c r="W70" s="1"/>
      <c r="X70" s="1"/>
      <c r="Y70" s="1"/>
      <c r="Z70" s="1"/>
    </row>
    <row r="71" spans="1:26" ht="17.25" customHeight="1" x14ac:dyDescent="0.3">
      <c r="A71" s="16" t="s">
        <v>244</v>
      </c>
      <c r="B71" s="16" t="s">
        <v>273</v>
      </c>
      <c r="C71" s="16" t="s">
        <v>274</v>
      </c>
      <c r="D71" s="16" t="s">
        <v>258</v>
      </c>
      <c r="E71" s="83">
        <v>3</v>
      </c>
      <c r="F71" s="83">
        <v>3</v>
      </c>
      <c r="G71" s="83">
        <v>3</v>
      </c>
      <c r="H71" s="83">
        <v>3</v>
      </c>
      <c r="I71" s="83">
        <v>3</v>
      </c>
      <c r="J71" s="83">
        <v>3</v>
      </c>
      <c r="K71" s="83">
        <v>3</v>
      </c>
      <c r="L71" s="83">
        <v>3</v>
      </c>
      <c r="M71" s="83">
        <v>3</v>
      </c>
      <c r="N71" s="84">
        <f t="shared" si="18"/>
        <v>3</v>
      </c>
      <c r="O71" s="84">
        <f t="shared" si="19"/>
        <v>3</v>
      </c>
      <c r="P71" s="84">
        <f t="shared" si="20"/>
        <v>3</v>
      </c>
      <c r="Q71" s="56" t="s">
        <v>117</v>
      </c>
      <c r="R71" s="57" t="s">
        <v>110</v>
      </c>
      <c r="S71" s="1"/>
      <c r="T71" s="1"/>
      <c r="U71" s="1"/>
      <c r="V71" s="1"/>
      <c r="W71" s="1"/>
      <c r="X71" s="1"/>
      <c r="Y71" s="1"/>
      <c r="Z71" s="1"/>
    </row>
    <row r="72" spans="1:26" ht="17.25" customHeight="1" x14ac:dyDescent="0.3">
      <c r="A72" s="16" t="s">
        <v>244</v>
      </c>
      <c r="B72" s="16" t="s">
        <v>275</v>
      </c>
      <c r="C72" s="16" t="s">
        <v>276</v>
      </c>
      <c r="D72" s="16" t="s">
        <v>113</v>
      </c>
      <c r="E72" s="81">
        <v>0.65</v>
      </c>
      <c r="F72" s="81">
        <v>0.65</v>
      </c>
      <c r="G72" s="81">
        <v>0.65</v>
      </c>
      <c r="H72" s="81">
        <v>0.7</v>
      </c>
      <c r="I72" s="81">
        <v>0.7</v>
      </c>
      <c r="J72" s="81">
        <v>0.7</v>
      </c>
      <c r="K72" s="81">
        <v>0.75</v>
      </c>
      <c r="L72" s="81">
        <v>0.75</v>
      </c>
      <c r="M72" s="81">
        <v>0.75</v>
      </c>
      <c r="N72" s="59">
        <f t="shared" si="18"/>
        <v>0.7</v>
      </c>
      <c r="O72" s="59">
        <f t="shared" si="19"/>
        <v>0.7</v>
      </c>
      <c r="P72" s="59">
        <f t="shared" si="20"/>
        <v>0.7</v>
      </c>
      <c r="Q72" s="56" t="s">
        <v>117</v>
      </c>
      <c r="R72" s="57" t="s">
        <v>110</v>
      </c>
      <c r="S72" s="1"/>
      <c r="T72" s="1"/>
      <c r="U72" s="1"/>
      <c r="V72" s="1"/>
      <c r="W72" s="1"/>
      <c r="X72" s="1"/>
      <c r="Y72" s="1"/>
      <c r="Z72" s="1"/>
    </row>
    <row r="73" spans="1:26" ht="32.25" customHeight="1" x14ac:dyDescent="0.3">
      <c r="A73" s="16" t="s">
        <v>244</v>
      </c>
      <c r="B73" s="16" t="s">
        <v>277</v>
      </c>
      <c r="C73" s="16" t="s">
        <v>278</v>
      </c>
      <c r="D73" s="16" t="s">
        <v>190</v>
      </c>
      <c r="E73" s="79">
        <v>0</v>
      </c>
      <c r="F73" s="79">
        <v>50000000</v>
      </c>
      <c r="G73" s="79">
        <v>80000000</v>
      </c>
      <c r="H73" s="79">
        <v>0</v>
      </c>
      <c r="I73" s="79">
        <v>100000000</v>
      </c>
      <c r="J73" s="79">
        <v>150000000</v>
      </c>
      <c r="K73" s="79">
        <v>0</v>
      </c>
      <c r="L73" s="79">
        <v>200000000</v>
      </c>
      <c r="M73" s="79">
        <v>300000000</v>
      </c>
      <c r="N73" s="80">
        <f t="shared" si="18"/>
        <v>0</v>
      </c>
      <c r="O73" s="80">
        <f t="shared" si="19"/>
        <v>100000000</v>
      </c>
      <c r="P73" s="80">
        <f t="shared" si="20"/>
        <v>150000000</v>
      </c>
      <c r="Q73" s="56" t="s">
        <v>117</v>
      </c>
      <c r="R73" s="57" t="s">
        <v>110</v>
      </c>
      <c r="S73" s="1"/>
      <c r="T73" s="1"/>
      <c r="U73" s="1"/>
      <c r="V73" s="1"/>
      <c r="W73" s="1"/>
      <c r="X73" s="1"/>
      <c r="Y73" s="1"/>
      <c r="Z73" s="1"/>
    </row>
    <row r="74" spans="1:26" ht="19.5" customHeight="1" x14ac:dyDescent="0.3">
      <c r="A74" s="51" t="s">
        <v>279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2"/>
      <c r="S74" s="53"/>
      <c r="T74" s="53"/>
      <c r="U74" s="53"/>
      <c r="V74" s="53"/>
      <c r="W74" s="53"/>
      <c r="X74" s="53"/>
      <c r="Y74" s="53"/>
      <c r="Z74" s="53"/>
    </row>
    <row r="75" spans="1:26" ht="48" customHeight="1" x14ac:dyDescent="0.3">
      <c r="A75" s="16" t="s">
        <v>280</v>
      </c>
      <c r="B75" s="16" t="s">
        <v>281</v>
      </c>
      <c r="C75" s="16" t="s">
        <v>14</v>
      </c>
      <c r="D75" s="16" t="s">
        <v>185</v>
      </c>
      <c r="E75" s="82">
        <v>20000000</v>
      </c>
      <c r="F75" s="82">
        <v>25000000</v>
      </c>
      <c r="G75" s="82">
        <v>30000000</v>
      </c>
      <c r="H75" s="82">
        <v>25000000</v>
      </c>
      <c r="I75" s="82">
        <v>30000000</v>
      </c>
      <c r="J75" s="82">
        <v>35000000</v>
      </c>
      <c r="K75" s="82">
        <v>30000000</v>
      </c>
      <c r="L75" s="82">
        <v>35000000</v>
      </c>
      <c r="M75" s="82">
        <v>40000000</v>
      </c>
      <c r="N75" s="80">
        <f t="shared" ref="N75:N88" si="21">IF($B$2="Thận trọng",E75,IF($B$2="Cơ sở",H75,K75))</f>
        <v>25000000</v>
      </c>
      <c r="O75" s="80">
        <f t="shared" ref="O75:O88" si="22">IF($B$2="Thận trọng",F75,IF($B$2="Cơ sở",I75,L75))</f>
        <v>30000000</v>
      </c>
      <c r="P75" s="80">
        <f t="shared" ref="P75:P88" si="23">IF($B$2="Thận trọng",G75,IF($B$2="Cơ sở",J75,M75))</f>
        <v>35000000</v>
      </c>
      <c r="Q75" s="56" t="s">
        <v>282</v>
      </c>
      <c r="R75" s="57" t="s">
        <v>110</v>
      </c>
      <c r="S75" s="1"/>
      <c r="T75" s="1"/>
      <c r="U75" s="1"/>
      <c r="V75" s="1"/>
      <c r="W75" s="1"/>
      <c r="X75" s="1"/>
      <c r="Y75" s="1"/>
      <c r="Z75" s="1"/>
    </row>
    <row r="76" spans="1:26" ht="32.25" customHeight="1" x14ac:dyDescent="0.3">
      <c r="A76" s="16" t="s">
        <v>280</v>
      </c>
      <c r="B76" s="16" t="s">
        <v>283</v>
      </c>
      <c r="C76" s="16" t="s">
        <v>284</v>
      </c>
      <c r="D76" s="16" t="s">
        <v>185</v>
      </c>
      <c r="E76" s="82">
        <v>7000000</v>
      </c>
      <c r="F76" s="82">
        <v>8000000</v>
      </c>
      <c r="G76" s="82">
        <v>9000000</v>
      </c>
      <c r="H76" s="82">
        <v>8000000</v>
      </c>
      <c r="I76" s="82">
        <v>9000000</v>
      </c>
      <c r="J76" s="82">
        <v>10000000</v>
      </c>
      <c r="K76" s="82">
        <v>9000000</v>
      </c>
      <c r="L76" s="82">
        <v>10000000</v>
      </c>
      <c r="M76" s="82">
        <v>12000000</v>
      </c>
      <c r="N76" s="80">
        <f t="shared" si="21"/>
        <v>8000000</v>
      </c>
      <c r="O76" s="80">
        <f t="shared" si="22"/>
        <v>9000000</v>
      </c>
      <c r="P76" s="80">
        <f t="shared" si="23"/>
        <v>10000000</v>
      </c>
      <c r="Q76" s="56" t="s">
        <v>117</v>
      </c>
      <c r="R76" s="57" t="s">
        <v>110</v>
      </c>
      <c r="S76" s="1"/>
      <c r="T76" s="1"/>
      <c r="U76" s="1"/>
      <c r="V76" s="1"/>
      <c r="W76" s="1"/>
      <c r="X76" s="1"/>
      <c r="Y76" s="1"/>
      <c r="Z76" s="1"/>
    </row>
    <row r="77" spans="1:26" ht="32.25" customHeight="1" x14ac:dyDescent="0.3">
      <c r="A77" s="16" t="s">
        <v>280</v>
      </c>
      <c r="B77" s="16" t="s">
        <v>285</v>
      </c>
      <c r="C77" s="16" t="s">
        <v>286</v>
      </c>
      <c r="D77" s="16" t="s">
        <v>185</v>
      </c>
      <c r="E77" s="82">
        <v>5000000</v>
      </c>
      <c r="F77" s="82">
        <v>7000000</v>
      </c>
      <c r="G77" s="82">
        <v>10000000</v>
      </c>
      <c r="H77" s="82">
        <v>6000000</v>
      </c>
      <c r="I77" s="82">
        <v>9000000</v>
      </c>
      <c r="J77" s="82">
        <v>12000000</v>
      </c>
      <c r="K77" s="82">
        <v>10000000</v>
      </c>
      <c r="L77" s="82">
        <v>12000000</v>
      </c>
      <c r="M77" s="82">
        <v>15000000</v>
      </c>
      <c r="N77" s="80">
        <f t="shared" si="21"/>
        <v>6000000</v>
      </c>
      <c r="O77" s="80">
        <f t="shared" si="22"/>
        <v>9000000</v>
      </c>
      <c r="P77" s="80">
        <f t="shared" si="23"/>
        <v>12000000</v>
      </c>
      <c r="Q77" s="56" t="s">
        <v>117</v>
      </c>
      <c r="R77" s="57" t="s">
        <v>110</v>
      </c>
      <c r="S77" s="1"/>
      <c r="T77" s="1"/>
      <c r="U77" s="1"/>
      <c r="V77" s="1"/>
      <c r="W77" s="1"/>
      <c r="X77" s="1"/>
      <c r="Y77" s="1"/>
      <c r="Z77" s="1"/>
    </row>
    <row r="78" spans="1:26" ht="32.25" customHeight="1" x14ac:dyDescent="0.3">
      <c r="A78" s="16" t="s">
        <v>280</v>
      </c>
      <c r="B78" s="16" t="s">
        <v>287</v>
      </c>
      <c r="C78" s="16" t="s">
        <v>288</v>
      </c>
      <c r="D78" s="16" t="s">
        <v>185</v>
      </c>
      <c r="E78" s="82">
        <v>7000000</v>
      </c>
      <c r="F78" s="82">
        <v>8500000</v>
      </c>
      <c r="G78" s="82">
        <v>10000000</v>
      </c>
      <c r="H78" s="82">
        <v>8000000</v>
      </c>
      <c r="I78" s="82">
        <v>9500000</v>
      </c>
      <c r="J78" s="82">
        <v>12000000</v>
      </c>
      <c r="K78" s="82">
        <v>10000000</v>
      </c>
      <c r="L78" s="82">
        <v>12500000</v>
      </c>
      <c r="M78" s="82">
        <v>15000000</v>
      </c>
      <c r="N78" s="80">
        <f t="shared" si="21"/>
        <v>8000000</v>
      </c>
      <c r="O78" s="80">
        <f t="shared" si="22"/>
        <v>9500000</v>
      </c>
      <c r="P78" s="80">
        <f t="shared" si="23"/>
        <v>12000000</v>
      </c>
      <c r="Q78" s="56" t="s">
        <v>117</v>
      </c>
      <c r="R78" s="57" t="s">
        <v>110</v>
      </c>
      <c r="S78" s="1"/>
      <c r="T78" s="1"/>
      <c r="U78" s="1"/>
      <c r="V78" s="1"/>
      <c r="W78" s="1"/>
      <c r="X78" s="1"/>
      <c r="Y78" s="1"/>
      <c r="Z78" s="1"/>
    </row>
    <row r="79" spans="1:26" ht="32.25" customHeight="1" x14ac:dyDescent="0.3">
      <c r="A79" s="16" t="s">
        <v>280</v>
      </c>
      <c r="B79" s="16" t="s">
        <v>289</v>
      </c>
      <c r="C79" s="16" t="s">
        <v>290</v>
      </c>
      <c r="D79" s="16" t="s">
        <v>185</v>
      </c>
      <c r="E79" s="82">
        <v>13000000</v>
      </c>
      <c r="F79" s="82">
        <f>15000000</f>
        <v>15000000</v>
      </c>
      <c r="G79" s="82">
        <v>20000000</v>
      </c>
      <c r="H79" s="82">
        <v>15000000</v>
      </c>
      <c r="I79" s="82">
        <v>20000000</v>
      </c>
      <c r="J79" s="82">
        <v>25000000</v>
      </c>
      <c r="K79" s="82">
        <v>20000000</v>
      </c>
      <c r="L79" s="82">
        <f>25000000</f>
        <v>25000000</v>
      </c>
      <c r="M79" s="82">
        <v>30000000</v>
      </c>
      <c r="N79" s="80">
        <f t="shared" si="21"/>
        <v>15000000</v>
      </c>
      <c r="O79" s="80">
        <f t="shared" si="22"/>
        <v>20000000</v>
      </c>
      <c r="P79" s="80">
        <f t="shared" si="23"/>
        <v>25000000</v>
      </c>
      <c r="Q79" s="56" t="s">
        <v>117</v>
      </c>
      <c r="R79" s="57" t="s">
        <v>110</v>
      </c>
      <c r="S79" s="1"/>
      <c r="T79" s="1"/>
      <c r="U79" s="1"/>
      <c r="V79" s="1"/>
      <c r="W79" s="1"/>
      <c r="X79" s="1"/>
      <c r="Y79" s="1"/>
      <c r="Z79" s="1"/>
    </row>
    <row r="80" spans="1:26" ht="32.25" customHeight="1" x14ac:dyDescent="0.3">
      <c r="A80" s="16" t="s">
        <v>280</v>
      </c>
      <c r="B80" s="16" t="s">
        <v>291</v>
      </c>
      <c r="C80" s="16" t="s">
        <v>292</v>
      </c>
      <c r="D80" s="16" t="s">
        <v>185</v>
      </c>
      <c r="E80" s="82">
        <v>5000000</v>
      </c>
      <c r="F80" s="82">
        <f>7000000</f>
        <v>7000000</v>
      </c>
      <c r="G80" s="82">
        <v>10000000</v>
      </c>
      <c r="H80" s="82">
        <v>10000000</v>
      </c>
      <c r="I80" s="82">
        <v>12000000</v>
      </c>
      <c r="J80" s="82">
        <v>15000000</v>
      </c>
      <c r="K80" s="82">
        <v>12000000</v>
      </c>
      <c r="L80" s="82">
        <f>15000000</f>
        <v>15000000</v>
      </c>
      <c r="M80" s="82">
        <v>20000000</v>
      </c>
      <c r="N80" s="80">
        <f t="shared" si="21"/>
        <v>10000000</v>
      </c>
      <c r="O80" s="80">
        <f t="shared" si="22"/>
        <v>12000000</v>
      </c>
      <c r="P80" s="80">
        <f t="shared" si="23"/>
        <v>15000000</v>
      </c>
      <c r="Q80" s="56" t="s">
        <v>117</v>
      </c>
      <c r="R80" s="57" t="s">
        <v>110</v>
      </c>
      <c r="S80" s="1"/>
      <c r="T80" s="1"/>
      <c r="U80" s="1"/>
      <c r="V80" s="1"/>
      <c r="W80" s="1"/>
      <c r="X80" s="1"/>
      <c r="Y80" s="1"/>
      <c r="Z80" s="1"/>
    </row>
    <row r="81" spans="1:26" ht="32.25" customHeight="1" x14ac:dyDescent="0.3">
      <c r="A81" s="16" t="s">
        <v>280</v>
      </c>
      <c r="B81" s="16" t="s">
        <v>293</v>
      </c>
      <c r="C81" s="16" t="s">
        <v>294</v>
      </c>
      <c r="D81" s="16" t="s">
        <v>185</v>
      </c>
      <c r="E81" s="82">
        <v>5000000</v>
      </c>
      <c r="F81" s="82">
        <v>7000000</v>
      </c>
      <c r="G81" s="82">
        <v>10000000</v>
      </c>
      <c r="H81" s="82">
        <v>7000000</v>
      </c>
      <c r="I81" s="82">
        <v>9000000</v>
      </c>
      <c r="J81" s="82">
        <v>12000000</v>
      </c>
      <c r="K81" s="82">
        <v>8000000</v>
      </c>
      <c r="L81" s="82">
        <v>10000000</v>
      </c>
      <c r="M81" s="82">
        <v>13000000</v>
      </c>
      <c r="N81" s="80">
        <f t="shared" si="21"/>
        <v>7000000</v>
      </c>
      <c r="O81" s="80">
        <f t="shared" si="22"/>
        <v>9000000</v>
      </c>
      <c r="P81" s="80">
        <f t="shared" si="23"/>
        <v>12000000</v>
      </c>
      <c r="Q81" s="56" t="s">
        <v>117</v>
      </c>
      <c r="R81" s="57" t="s">
        <v>110</v>
      </c>
      <c r="S81" s="1"/>
      <c r="T81" s="1"/>
      <c r="U81" s="1"/>
      <c r="V81" s="1"/>
      <c r="W81" s="1"/>
      <c r="X81" s="1"/>
      <c r="Y81" s="1"/>
      <c r="Z81" s="1"/>
    </row>
    <row r="82" spans="1:26" ht="32.25" customHeight="1" x14ac:dyDescent="0.3">
      <c r="A82" s="16" t="s">
        <v>280</v>
      </c>
      <c r="B82" s="16" t="s">
        <v>295</v>
      </c>
      <c r="C82" s="16" t="s">
        <v>16</v>
      </c>
      <c r="D82" s="16" t="s">
        <v>185</v>
      </c>
      <c r="E82" s="82">
        <v>0</v>
      </c>
      <c r="F82" s="82">
        <v>7000000</v>
      </c>
      <c r="G82" s="82">
        <v>10000000</v>
      </c>
      <c r="H82" s="82">
        <v>0</v>
      </c>
      <c r="I82" s="82">
        <v>10000000</v>
      </c>
      <c r="J82" s="82">
        <v>12000000</v>
      </c>
      <c r="K82" s="82">
        <v>0</v>
      </c>
      <c r="L82" s="87">
        <v>12000000</v>
      </c>
      <c r="M82" s="82">
        <v>15000000</v>
      </c>
      <c r="N82" s="80">
        <f t="shared" si="21"/>
        <v>0</v>
      </c>
      <c r="O82" s="80">
        <f t="shared" si="22"/>
        <v>10000000</v>
      </c>
      <c r="P82" s="80">
        <f t="shared" si="23"/>
        <v>12000000</v>
      </c>
      <c r="Q82" s="56" t="s">
        <v>117</v>
      </c>
      <c r="R82" s="57" t="s">
        <v>187</v>
      </c>
      <c r="S82" s="1"/>
      <c r="T82" s="1"/>
      <c r="U82" s="1"/>
      <c r="V82" s="1"/>
      <c r="W82" s="1"/>
      <c r="X82" s="1"/>
      <c r="Y82" s="1"/>
      <c r="Z82" s="1"/>
    </row>
    <row r="83" spans="1:26" ht="32.25" customHeight="1" x14ac:dyDescent="0.3">
      <c r="A83" s="16" t="s">
        <v>280</v>
      </c>
      <c r="B83" s="16" t="s">
        <v>296</v>
      </c>
      <c r="C83" s="16" t="s">
        <v>297</v>
      </c>
      <c r="D83" s="16" t="s">
        <v>185</v>
      </c>
      <c r="E83" s="82">
        <f>(SUM('DIA_Danh Mục Đầu Tư'!$D$8,'DIA_Danh Mục Đầu Tư'!$D$14,'DIA_Danh Mục Đầu Tư'!D15,'DIA_Danh Mục Đầu Tư'!D25)-'DIA_Danh Mục Đầu Tư'!$D$33)/12</f>
        <v>22812500</v>
      </c>
      <c r="F83" s="82">
        <f>(SUM('DIA_Danh Mục Đầu Tư'!$D$8,'DIA_Danh Mục Đầu Tư'!$D$14,'DIA_Danh Mục Đầu Tư'!D15,'DIA_Danh Mục Đầu Tư'!D25)-'DIA_Danh Mục Đầu Tư'!$D$33)/12</f>
        <v>22812500</v>
      </c>
      <c r="G83" s="82">
        <f>(SUM('DIA_Danh Mục Đầu Tư'!$D$8,'DIA_Danh Mục Đầu Tư'!$D$14,'DIA_Danh Mục Đầu Tư'!D15,'DIA_Danh Mục Đầu Tư'!D25)-'DIA_Danh Mục Đầu Tư'!$D$33)/12</f>
        <v>22812500</v>
      </c>
      <c r="H83" s="82">
        <f>(SUM('DIA_Danh Mục Đầu Tư'!$D$8,'DIA_Danh Mục Đầu Tư'!$D$14,'DIA_Danh Mục Đầu Tư'!D15,'DIA_Danh Mục Đầu Tư'!D25)-'DIA_Danh Mục Đầu Tư'!$D$33)/12</f>
        <v>22812500</v>
      </c>
      <c r="I83" s="82">
        <f>(SUM('DIA_Danh Mục Đầu Tư'!$D$8,'DIA_Danh Mục Đầu Tư'!$D$14,'DIA_Danh Mục Đầu Tư'!D15,'DIA_Danh Mục Đầu Tư'!D25)-'DIA_Danh Mục Đầu Tư'!$D$33)/12</f>
        <v>22812500</v>
      </c>
      <c r="J83" s="82">
        <f>(SUM('DIA_Danh Mục Đầu Tư'!$D$8,'DIA_Danh Mục Đầu Tư'!$D$14,'DIA_Danh Mục Đầu Tư'!D15,'DIA_Danh Mục Đầu Tư'!D25)-'DIA_Danh Mục Đầu Tư'!$D$33)/12</f>
        <v>22812500</v>
      </c>
      <c r="K83" s="82">
        <f>(SUM('DIA_Danh Mục Đầu Tư'!$D$8,'DIA_Danh Mục Đầu Tư'!$D$14,'DIA_Danh Mục Đầu Tư'!D15,'DIA_Danh Mục Đầu Tư'!D25)-'DIA_Danh Mục Đầu Tư'!$D$33)/12</f>
        <v>22812500</v>
      </c>
      <c r="L83" s="82">
        <f>(SUM('DIA_Danh Mục Đầu Tư'!$D$8,'DIA_Danh Mục Đầu Tư'!$D$14,'DIA_Danh Mục Đầu Tư'!D15,'DIA_Danh Mục Đầu Tư'!D25)-'DIA_Danh Mục Đầu Tư'!$D$33)/12</f>
        <v>22812500</v>
      </c>
      <c r="M83" s="82">
        <f>(SUM('DIA_Danh Mục Đầu Tư'!$D$8,'DIA_Danh Mục Đầu Tư'!$D$14,'DIA_Danh Mục Đầu Tư'!D15,'DIA_Danh Mục Đầu Tư'!D25)-'DIA_Danh Mục Đầu Tư'!$D$33)/12</f>
        <v>22812500</v>
      </c>
      <c r="N83" s="80">
        <f t="shared" si="21"/>
        <v>22812500</v>
      </c>
      <c r="O83" s="80">
        <f t="shared" si="22"/>
        <v>22812500</v>
      </c>
      <c r="P83" s="80">
        <f t="shared" si="23"/>
        <v>22812500</v>
      </c>
      <c r="Q83" s="56" t="s">
        <v>117</v>
      </c>
      <c r="R83" s="57" t="s">
        <v>110</v>
      </c>
      <c r="S83" s="1"/>
      <c r="T83" s="1"/>
      <c r="U83" s="1"/>
      <c r="V83" s="1"/>
      <c r="W83" s="1"/>
      <c r="X83" s="1"/>
      <c r="Y83" s="1"/>
      <c r="Z83" s="1"/>
    </row>
    <row r="84" spans="1:26" ht="17.25" customHeight="1" x14ac:dyDescent="0.3">
      <c r="A84" s="16" t="s">
        <v>280</v>
      </c>
      <c r="B84" s="16" t="s">
        <v>298</v>
      </c>
      <c r="C84" s="16" t="s">
        <v>299</v>
      </c>
      <c r="D84" s="16" t="s">
        <v>185</v>
      </c>
      <c r="E84" s="82">
        <v>1500000</v>
      </c>
      <c r="F84" s="82">
        <v>3500000</v>
      </c>
      <c r="G84" s="82">
        <v>6000000</v>
      </c>
      <c r="H84" s="82">
        <v>2000000</v>
      </c>
      <c r="I84" s="82">
        <v>4000000</v>
      </c>
      <c r="J84" s="82">
        <v>7000000</v>
      </c>
      <c r="K84" s="82">
        <v>2500000</v>
      </c>
      <c r="L84" s="82">
        <v>5000000</v>
      </c>
      <c r="M84" s="82">
        <v>8500000</v>
      </c>
      <c r="N84" s="80">
        <f t="shared" si="21"/>
        <v>2000000</v>
      </c>
      <c r="O84" s="80">
        <f t="shared" si="22"/>
        <v>4000000</v>
      </c>
      <c r="P84" s="80">
        <f t="shared" si="23"/>
        <v>7000000</v>
      </c>
      <c r="Q84" s="56" t="s">
        <v>117</v>
      </c>
      <c r="R84" s="57" t="s">
        <v>110</v>
      </c>
      <c r="S84" s="1"/>
      <c r="T84" s="1"/>
      <c r="U84" s="1"/>
      <c r="V84" s="1"/>
      <c r="W84" s="1"/>
      <c r="X84" s="1"/>
      <c r="Y84" s="1"/>
      <c r="Z84" s="1"/>
    </row>
    <row r="85" spans="1:26" ht="32.25" customHeight="1" x14ac:dyDescent="0.3">
      <c r="A85" s="16" t="s">
        <v>280</v>
      </c>
      <c r="B85" s="16" t="s">
        <v>300</v>
      </c>
      <c r="C85" s="16" t="s">
        <v>301</v>
      </c>
      <c r="D85" s="16" t="s">
        <v>185</v>
      </c>
      <c r="E85" s="82">
        <v>50000000</v>
      </c>
      <c r="F85" s="82">
        <v>70000000</v>
      </c>
      <c r="G85" s="82">
        <v>90000000</v>
      </c>
      <c r="H85" s="82">
        <v>70000000</v>
      </c>
      <c r="I85" s="82">
        <v>90000000</v>
      </c>
      <c r="J85" s="82">
        <v>100000000</v>
      </c>
      <c r="K85" s="82">
        <v>120000000</v>
      </c>
      <c r="L85" s="82">
        <v>168000000</v>
      </c>
      <c r="M85" s="82">
        <v>216000000</v>
      </c>
      <c r="N85" s="80">
        <f t="shared" si="21"/>
        <v>70000000</v>
      </c>
      <c r="O85" s="80">
        <f t="shared" si="22"/>
        <v>90000000</v>
      </c>
      <c r="P85" s="80">
        <f t="shared" si="23"/>
        <v>100000000</v>
      </c>
      <c r="Q85" s="56" t="s">
        <v>117</v>
      </c>
      <c r="R85" s="57" t="s">
        <v>110</v>
      </c>
      <c r="S85" s="1"/>
      <c r="T85" s="1"/>
      <c r="U85" s="1"/>
      <c r="V85" s="1"/>
      <c r="W85" s="1"/>
      <c r="X85" s="1"/>
      <c r="Y85" s="1"/>
      <c r="Z85" s="1"/>
    </row>
    <row r="86" spans="1:26" ht="32.25" customHeight="1" x14ac:dyDescent="0.3">
      <c r="A86" s="16" t="s">
        <v>280</v>
      </c>
      <c r="B86" s="16" t="s">
        <v>302</v>
      </c>
      <c r="C86" s="16" t="s">
        <v>303</v>
      </c>
      <c r="D86" s="16" t="s">
        <v>185</v>
      </c>
      <c r="E86" s="82">
        <v>3500000</v>
      </c>
      <c r="F86" s="82">
        <v>8500000</v>
      </c>
      <c r="G86" s="82">
        <v>15500000</v>
      </c>
      <c r="H86" s="82">
        <v>4000000</v>
      </c>
      <c r="I86" s="82">
        <v>10000000</v>
      </c>
      <c r="J86" s="82">
        <v>18000000</v>
      </c>
      <c r="K86" s="82">
        <v>5000000</v>
      </c>
      <c r="L86" s="82">
        <v>12000000</v>
      </c>
      <c r="M86" s="82">
        <v>21500000</v>
      </c>
      <c r="N86" s="80">
        <f t="shared" si="21"/>
        <v>4000000</v>
      </c>
      <c r="O86" s="80">
        <f t="shared" si="22"/>
        <v>10000000</v>
      </c>
      <c r="P86" s="80">
        <f t="shared" si="23"/>
        <v>18000000</v>
      </c>
      <c r="Q86" s="56" t="s">
        <v>117</v>
      </c>
      <c r="R86" s="57" t="s">
        <v>110</v>
      </c>
      <c r="S86" s="1"/>
      <c r="T86" s="1"/>
      <c r="U86" s="1"/>
      <c r="V86" s="1"/>
      <c r="W86" s="1"/>
      <c r="X86" s="1"/>
      <c r="Y86" s="1"/>
      <c r="Z86" s="1"/>
    </row>
    <row r="87" spans="1:26" ht="32.25" customHeight="1" x14ac:dyDescent="0.3">
      <c r="A87" s="16" t="s">
        <v>280</v>
      </c>
      <c r="B87" s="16" t="s">
        <v>304</v>
      </c>
      <c r="C87" s="16" t="s">
        <v>305</v>
      </c>
      <c r="D87" s="16" t="s">
        <v>185</v>
      </c>
      <c r="E87" s="82">
        <v>2500000</v>
      </c>
      <c r="F87" s="82">
        <v>5000000</v>
      </c>
      <c r="G87" s="82">
        <v>10000000</v>
      </c>
      <c r="H87" s="82">
        <v>3000000</v>
      </c>
      <c r="I87" s="82">
        <v>6000000</v>
      </c>
      <c r="J87" s="82">
        <v>12000000</v>
      </c>
      <c r="K87" s="82">
        <v>3500000</v>
      </c>
      <c r="L87" s="82">
        <v>7000000</v>
      </c>
      <c r="M87" s="82">
        <v>14500000</v>
      </c>
      <c r="N87" s="80">
        <f t="shared" si="21"/>
        <v>3000000</v>
      </c>
      <c r="O87" s="80">
        <f t="shared" si="22"/>
        <v>6000000</v>
      </c>
      <c r="P87" s="80">
        <f t="shared" si="23"/>
        <v>12000000</v>
      </c>
      <c r="Q87" s="56" t="s">
        <v>117</v>
      </c>
      <c r="R87" s="57" t="s">
        <v>110</v>
      </c>
      <c r="S87" s="1"/>
      <c r="T87" s="1"/>
      <c r="U87" s="1"/>
      <c r="V87" s="1"/>
      <c r="W87" s="1"/>
      <c r="X87" s="1"/>
      <c r="Y87" s="1"/>
      <c r="Z87" s="1"/>
    </row>
    <row r="88" spans="1:26" ht="17.25" customHeight="1" x14ac:dyDescent="0.3">
      <c r="A88" s="16" t="s">
        <v>280</v>
      </c>
      <c r="B88" s="16" t="s">
        <v>306</v>
      </c>
      <c r="C88" s="16" t="s">
        <v>307</v>
      </c>
      <c r="D88" s="16" t="s">
        <v>185</v>
      </c>
      <c r="E88" s="82">
        <v>5000000</v>
      </c>
      <c r="F88" s="82">
        <v>6000000</v>
      </c>
      <c r="G88" s="82">
        <v>7000000</v>
      </c>
      <c r="H88" s="82">
        <v>6000000</v>
      </c>
      <c r="I88" s="82">
        <v>7000000</v>
      </c>
      <c r="J88" s="82">
        <v>8000000</v>
      </c>
      <c r="K88" s="82">
        <v>7000000</v>
      </c>
      <c r="L88" s="82">
        <v>8000000</v>
      </c>
      <c r="M88" s="82">
        <v>9000000</v>
      </c>
      <c r="N88" s="80">
        <f t="shared" si="21"/>
        <v>6000000</v>
      </c>
      <c r="O88" s="80">
        <f t="shared" si="22"/>
        <v>7000000</v>
      </c>
      <c r="P88" s="80">
        <f t="shared" si="23"/>
        <v>8000000</v>
      </c>
      <c r="Q88" s="56" t="s">
        <v>117</v>
      </c>
      <c r="R88" s="57" t="s">
        <v>110</v>
      </c>
      <c r="S88" s="1"/>
      <c r="T88" s="1"/>
      <c r="U88" s="1"/>
      <c r="V88" s="1"/>
      <c r="W88" s="1"/>
      <c r="X88" s="1"/>
      <c r="Y88" s="1"/>
      <c r="Z88" s="1"/>
    </row>
    <row r="89" spans="1:26" ht="19.5" customHeight="1" x14ac:dyDescent="0.3">
      <c r="A89" s="51" t="s">
        <v>308</v>
      </c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2"/>
      <c r="S89" s="53"/>
      <c r="T89" s="53"/>
      <c r="U89" s="53"/>
      <c r="V89" s="53"/>
      <c r="W89" s="53"/>
      <c r="X89" s="53"/>
      <c r="Y89" s="53"/>
      <c r="Z89" s="53"/>
    </row>
    <row r="90" spans="1:26" ht="17.25" customHeight="1" x14ac:dyDescent="0.3">
      <c r="A90" s="16" t="s">
        <v>309</v>
      </c>
      <c r="B90" s="16" t="s">
        <v>310</v>
      </c>
      <c r="C90" s="16" t="s">
        <v>311</v>
      </c>
      <c r="D90" s="16" t="s">
        <v>312</v>
      </c>
      <c r="E90" s="54">
        <v>1</v>
      </c>
      <c r="F90" s="54">
        <v>0</v>
      </c>
      <c r="G90" s="54">
        <v>0</v>
      </c>
      <c r="H90" s="54">
        <v>1</v>
      </c>
      <c r="I90" s="54">
        <v>0</v>
      </c>
      <c r="J90" s="54">
        <v>0</v>
      </c>
      <c r="K90" s="54">
        <v>1</v>
      </c>
      <c r="L90" s="54">
        <v>0</v>
      </c>
      <c r="M90" s="54">
        <v>0</v>
      </c>
      <c r="N90" s="55">
        <f t="shared" ref="N90:P91" si="24">IF($B$2="Thận trọng",E90,IF($B$2="Cơ sở",H90,K90))</f>
        <v>1</v>
      </c>
      <c r="O90" s="55">
        <f t="shared" si="24"/>
        <v>0</v>
      </c>
      <c r="P90" s="55">
        <f t="shared" si="24"/>
        <v>0</v>
      </c>
      <c r="Q90" s="56" t="s">
        <v>177</v>
      </c>
      <c r="R90" s="57" t="s">
        <v>110</v>
      </c>
      <c r="S90" s="1"/>
      <c r="T90" s="1"/>
      <c r="U90" s="1"/>
      <c r="V90" s="1"/>
      <c r="W90" s="1"/>
      <c r="X90" s="1"/>
      <c r="Y90" s="1"/>
      <c r="Z90" s="1"/>
    </row>
    <row r="91" spans="1:26" ht="32.25" customHeight="1" x14ac:dyDescent="0.3">
      <c r="A91" s="16" t="s">
        <v>309</v>
      </c>
      <c r="B91" s="16" t="s">
        <v>313</v>
      </c>
      <c r="C91" s="16" t="s">
        <v>314</v>
      </c>
      <c r="D91" s="16" t="s">
        <v>315</v>
      </c>
      <c r="E91" s="82">
        <v>135000000</v>
      </c>
      <c r="F91" s="82">
        <v>0</v>
      </c>
      <c r="G91" s="82">
        <v>0</v>
      </c>
      <c r="H91" s="82">
        <v>270000000</v>
      </c>
      <c r="I91" s="82">
        <v>0</v>
      </c>
      <c r="J91" s="82">
        <v>0</v>
      </c>
      <c r="K91" s="82">
        <v>405000000</v>
      </c>
      <c r="L91" s="82">
        <v>0</v>
      </c>
      <c r="M91" s="82">
        <v>0</v>
      </c>
      <c r="N91" s="80">
        <f t="shared" si="24"/>
        <v>270000000</v>
      </c>
      <c r="O91" s="80">
        <f t="shared" si="24"/>
        <v>0</v>
      </c>
      <c r="P91" s="80">
        <f t="shared" si="24"/>
        <v>0</v>
      </c>
      <c r="Q91" s="56" t="s">
        <v>316</v>
      </c>
      <c r="R91" s="57" t="s">
        <v>110</v>
      </c>
      <c r="S91" s="1"/>
      <c r="T91" s="1"/>
      <c r="U91" s="1"/>
      <c r="V91" s="1"/>
      <c r="W91" s="1"/>
      <c r="X91" s="1"/>
      <c r="Y91" s="1"/>
      <c r="Z91" s="1"/>
    </row>
    <row r="92" spans="1:26" ht="17.25" customHeight="1" x14ac:dyDescent="0.3">
      <c r="A92" s="16" t="s">
        <v>309</v>
      </c>
      <c r="B92" s="16" t="s">
        <v>317</v>
      </c>
      <c r="C92" s="16" t="s">
        <v>318</v>
      </c>
      <c r="D92" s="16" t="s">
        <v>312</v>
      </c>
      <c r="E92" s="54">
        <v>1</v>
      </c>
      <c r="F92" s="54">
        <v>0</v>
      </c>
      <c r="G92" s="54">
        <v>0</v>
      </c>
      <c r="H92" s="54">
        <v>1</v>
      </c>
      <c r="I92" s="82">
        <v>0</v>
      </c>
      <c r="J92" s="82">
        <v>0</v>
      </c>
      <c r="K92" s="54">
        <v>1</v>
      </c>
      <c r="L92" s="82">
        <v>0</v>
      </c>
      <c r="M92" s="82">
        <v>0</v>
      </c>
      <c r="N92" s="55">
        <v>1</v>
      </c>
      <c r="O92" s="80">
        <f t="shared" ref="O92:O127" si="25">IF($B$2="Thận trọng",F92,IF($B$2="Cơ sở",I92,L92))</f>
        <v>0</v>
      </c>
      <c r="P92" s="80">
        <f t="shared" ref="P92:P127" si="26">IF($B$2="Thận trọng",G92,IF($B$2="Cơ sở",J92,M92))</f>
        <v>0</v>
      </c>
      <c r="Q92" s="56"/>
      <c r="R92" s="57" t="s">
        <v>110</v>
      </c>
      <c r="S92" s="1"/>
      <c r="T92" s="1"/>
      <c r="U92" s="1"/>
      <c r="V92" s="1"/>
      <c r="W92" s="1"/>
      <c r="X92" s="1"/>
      <c r="Y92" s="1"/>
      <c r="Z92" s="1"/>
    </row>
    <row r="93" spans="1:26" ht="32.25" customHeight="1" x14ac:dyDescent="0.3">
      <c r="A93" s="16" t="s">
        <v>309</v>
      </c>
      <c r="B93" s="16" t="s">
        <v>319</v>
      </c>
      <c r="C93" s="16" t="s">
        <v>320</v>
      </c>
      <c r="D93" s="16" t="s">
        <v>315</v>
      </c>
      <c r="E93" s="82">
        <v>96000000</v>
      </c>
      <c r="F93" s="82">
        <v>0</v>
      </c>
      <c r="G93" s="82">
        <v>0</v>
      </c>
      <c r="H93" s="82">
        <v>96000000</v>
      </c>
      <c r="I93" s="82">
        <v>0</v>
      </c>
      <c r="J93" s="82">
        <v>0</v>
      </c>
      <c r="K93" s="82">
        <v>96000000</v>
      </c>
      <c r="L93" s="82">
        <v>0</v>
      </c>
      <c r="M93" s="82">
        <v>0</v>
      </c>
      <c r="N93" s="80">
        <f t="shared" ref="N93:N127" si="27">IF($B$2="Thận trọng",E93,IF($B$2="Cơ sở",H93,K93))</f>
        <v>96000000</v>
      </c>
      <c r="O93" s="80">
        <f t="shared" si="25"/>
        <v>0</v>
      </c>
      <c r="P93" s="80">
        <f t="shared" si="26"/>
        <v>0</v>
      </c>
      <c r="Q93" s="56"/>
      <c r="R93" s="57" t="s">
        <v>110</v>
      </c>
      <c r="S93" s="1"/>
      <c r="T93" s="1"/>
      <c r="U93" s="1"/>
      <c r="V93" s="1"/>
      <c r="W93" s="1"/>
      <c r="X93" s="1"/>
      <c r="Y93" s="1"/>
      <c r="Z93" s="1"/>
    </row>
    <row r="94" spans="1:26" ht="17.25" customHeight="1" x14ac:dyDescent="0.3">
      <c r="A94" s="16" t="s">
        <v>309</v>
      </c>
      <c r="B94" s="16" t="s">
        <v>321</v>
      </c>
      <c r="C94" s="16" t="s">
        <v>322</v>
      </c>
      <c r="D94" s="16" t="s">
        <v>312</v>
      </c>
      <c r="E94" s="54">
        <v>1</v>
      </c>
      <c r="F94" s="54">
        <v>0</v>
      </c>
      <c r="G94" s="54">
        <v>0</v>
      </c>
      <c r="H94" s="54">
        <v>1</v>
      </c>
      <c r="I94" s="54">
        <v>0</v>
      </c>
      <c r="J94" s="54">
        <v>0</v>
      </c>
      <c r="K94" s="54">
        <v>1</v>
      </c>
      <c r="L94" s="54">
        <v>0</v>
      </c>
      <c r="M94" s="54">
        <v>0</v>
      </c>
      <c r="N94" s="80">
        <f t="shared" si="27"/>
        <v>1</v>
      </c>
      <c r="O94" s="55">
        <f t="shared" si="25"/>
        <v>0</v>
      </c>
      <c r="P94" s="55">
        <f t="shared" si="26"/>
        <v>0</v>
      </c>
      <c r="Q94" s="56" t="s">
        <v>117</v>
      </c>
      <c r="R94" s="57" t="s">
        <v>110</v>
      </c>
      <c r="S94" s="1"/>
      <c r="T94" s="1"/>
      <c r="U94" s="1"/>
      <c r="V94" s="1"/>
      <c r="W94" s="1"/>
      <c r="X94" s="1"/>
      <c r="Y94" s="1"/>
      <c r="Z94" s="1"/>
    </row>
    <row r="95" spans="1:26" ht="32.25" customHeight="1" x14ac:dyDescent="0.3">
      <c r="A95" s="16" t="s">
        <v>309</v>
      </c>
      <c r="B95" s="16" t="s">
        <v>323</v>
      </c>
      <c r="C95" s="16" t="s">
        <v>324</v>
      </c>
      <c r="D95" s="16" t="s">
        <v>315</v>
      </c>
      <c r="E95" s="54">
        <v>150000000</v>
      </c>
      <c r="F95" s="54">
        <v>0</v>
      </c>
      <c r="G95" s="54">
        <v>0</v>
      </c>
      <c r="H95" s="54">
        <v>160000000</v>
      </c>
      <c r="I95" s="54">
        <v>0</v>
      </c>
      <c r="J95" s="54">
        <v>0</v>
      </c>
      <c r="K95" s="54">
        <v>170850000</v>
      </c>
      <c r="L95" s="54">
        <v>0</v>
      </c>
      <c r="M95" s="54">
        <v>0</v>
      </c>
      <c r="N95" s="80">
        <f t="shared" si="27"/>
        <v>160000000</v>
      </c>
      <c r="O95" s="55">
        <f t="shared" si="25"/>
        <v>0</v>
      </c>
      <c r="P95" s="55">
        <f t="shared" si="26"/>
        <v>0</v>
      </c>
      <c r="Q95" s="56" t="s">
        <v>117</v>
      </c>
      <c r="R95" s="57" t="s">
        <v>110</v>
      </c>
      <c r="S95" s="1"/>
      <c r="T95" s="1"/>
      <c r="U95" s="1"/>
      <c r="V95" s="1"/>
      <c r="W95" s="1"/>
      <c r="X95" s="1"/>
      <c r="Y95" s="1"/>
      <c r="Z95" s="1"/>
    </row>
    <row r="96" spans="1:26" ht="17.25" customHeight="1" x14ac:dyDescent="0.3">
      <c r="A96" s="16" t="s">
        <v>309</v>
      </c>
      <c r="B96" s="16" t="s">
        <v>325</v>
      </c>
      <c r="C96" s="16" t="s">
        <v>326</v>
      </c>
      <c r="D96" s="16" t="s">
        <v>312</v>
      </c>
      <c r="E96" s="54">
        <v>2</v>
      </c>
      <c r="F96" s="54">
        <v>0</v>
      </c>
      <c r="G96" s="54">
        <v>0</v>
      </c>
      <c r="H96" s="54">
        <v>2</v>
      </c>
      <c r="I96" s="54">
        <v>0</v>
      </c>
      <c r="J96" s="54">
        <v>0</v>
      </c>
      <c r="K96" s="54">
        <v>2</v>
      </c>
      <c r="L96" s="54">
        <v>0</v>
      </c>
      <c r="M96" s="54">
        <v>0</v>
      </c>
      <c r="N96" s="55">
        <f t="shared" si="27"/>
        <v>2</v>
      </c>
      <c r="O96" s="55">
        <f t="shared" si="25"/>
        <v>0</v>
      </c>
      <c r="P96" s="55">
        <f t="shared" si="26"/>
        <v>0</v>
      </c>
      <c r="Q96" s="56" t="s">
        <v>117</v>
      </c>
      <c r="R96" s="57" t="s">
        <v>110</v>
      </c>
      <c r="S96" s="1"/>
      <c r="T96" s="1"/>
      <c r="U96" s="1"/>
      <c r="V96" s="1"/>
      <c r="W96" s="1"/>
      <c r="X96" s="1"/>
      <c r="Y96" s="1"/>
      <c r="Z96" s="1"/>
    </row>
    <row r="97" spans="1:26" ht="32.25" customHeight="1" x14ac:dyDescent="0.3">
      <c r="A97" s="16" t="s">
        <v>309</v>
      </c>
      <c r="B97" s="16" t="s">
        <v>327</v>
      </c>
      <c r="C97" s="16" t="s">
        <v>328</v>
      </c>
      <c r="D97" s="16" t="s">
        <v>315</v>
      </c>
      <c r="E97" s="82">
        <v>7000000</v>
      </c>
      <c r="F97" s="82">
        <v>0</v>
      </c>
      <c r="G97" s="82">
        <v>0</v>
      </c>
      <c r="H97" s="82">
        <v>8000000</v>
      </c>
      <c r="I97" s="82">
        <v>0</v>
      </c>
      <c r="J97" s="82">
        <v>0</v>
      </c>
      <c r="K97" s="82">
        <f>'DIA_Danh Mục Đầu Tư'!$E$15</f>
        <v>11300000</v>
      </c>
      <c r="L97" s="82">
        <v>0</v>
      </c>
      <c r="M97" s="82">
        <v>0</v>
      </c>
      <c r="N97" s="80">
        <f t="shared" si="27"/>
        <v>8000000</v>
      </c>
      <c r="O97" s="80">
        <f t="shared" si="25"/>
        <v>0</v>
      </c>
      <c r="P97" s="80">
        <f t="shared" si="26"/>
        <v>0</v>
      </c>
      <c r="Q97" s="56" t="s">
        <v>117</v>
      </c>
      <c r="R97" s="57" t="s">
        <v>187</v>
      </c>
      <c r="S97" s="1"/>
      <c r="T97" s="1"/>
      <c r="U97" s="1"/>
      <c r="V97" s="1"/>
      <c r="W97" s="1"/>
      <c r="X97" s="1"/>
      <c r="Y97" s="1"/>
      <c r="Z97" s="1"/>
    </row>
    <row r="98" spans="1:26" ht="17.25" customHeight="1" x14ac:dyDescent="0.3">
      <c r="A98" s="16" t="s">
        <v>309</v>
      </c>
      <c r="B98" s="16" t="s">
        <v>329</v>
      </c>
      <c r="C98" s="16" t="s">
        <v>330</v>
      </c>
      <c r="D98" s="16" t="s">
        <v>312</v>
      </c>
      <c r="E98" s="54">
        <v>1</v>
      </c>
      <c r="F98" s="54">
        <v>0</v>
      </c>
      <c r="G98" s="54">
        <v>0</v>
      </c>
      <c r="H98" s="54">
        <v>1</v>
      </c>
      <c r="I98" s="54">
        <v>0</v>
      </c>
      <c r="J98" s="54">
        <v>0</v>
      </c>
      <c r="K98" s="54">
        <v>1</v>
      </c>
      <c r="L98" s="54">
        <v>0</v>
      </c>
      <c r="M98" s="54">
        <v>0</v>
      </c>
      <c r="N98" s="55">
        <f t="shared" si="27"/>
        <v>1</v>
      </c>
      <c r="O98" s="55">
        <f t="shared" si="25"/>
        <v>0</v>
      </c>
      <c r="P98" s="55">
        <f t="shared" si="26"/>
        <v>0</v>
      </c>
      <c r="Q98" s="56" t="s">
        <v>117</v>
      </c>
      <c r="R98" s="57" t="s">
        <v>110</v>
      </c>
      <c r="S98" s="1"/>
      <c r="T98" s="1"/>
      <c r="U98" s="1"/>
      <c r="V98" s="1"/>
      <c r="W98" s="1"/>
      <c r="X98" s="1"/>
      <c r="Y98" s="1"/>
      <c r="Z98" s="1"/>
    </row>
    <row r="99" spans="1:26" ht="32.25" customHeight="1" x14ac:dyDescent="0.3">
      <c r="A99" s="16" t="s">
        <v>309</v>
      </c>
      <c r="B99" s="16" t="s">
        <v>331</v>
      </c>
      <c r="C99" s="16" t="s">
        <v>332</v>
      </c>
      <c r="D99" s="16" t="s">
        <v>315</v>
      </c>
      <c r="E99" s="82">
        <v>30000000</v>
      </c>
      <c r="F99" s="82">
        <v>0</v>
      </c>
      <c r="G99" s="82">
        <v>0</v>
      </c>
      <c r="H99" s="82">
        <v>40000000</v>
      </c>
      <c r="I99" s="82">
        <v>0</v>
      </c>
      <c r="J99" s="82">
        <v>0</v>
      </c>
      <c r="K99" s="82">
        <v>50000000</v>
      </c>
      <c r="L99" s="82">
        <v>0</v>
      </c>
      <c r="M99" s="82">
        <v>0</v>
      </c>
      <c r="N99" s="80">
        <f t="shared" si="27"/>
        <v>40000000</v>
      </c>
      <c r="O99" s="80">
        <f t="shared" si="25"/>
        <v>0</v>
      </c>
      <c r="P99" s="80">
        <f t="shared" si="26"/>
        <v>0</v>
      </c>
      <c r="Q99" s="56" t="s">
        <v>117</v>
      </c>
      <c r="R99" s="57" t="s">
        <v>110</v>
      </c>
      <c r="S99" s="1"/>
      <c r="T99" s="1"/>
      <c r="U99" s="1"/>
      <c r="V99" s="1"/>
      <c r="W99" s="1"/>
      <c r="X99" s="1"/>
      <c r="Y99" s="1"/>
      <c r="Z99" s="1"/>
    </row>
    <row r="100" spans="1:26" ht="17.25" customHeight="1" x14ac:dyDescent="0.3">
      <c r="A100" s="16" t="s">
        <v>309</v>
      </c>
      <c r="B100" s="16" t="s">
        <v>333</v>
      </c>
      <c r="C100" s="16" t="s">
        <v>334</v>
      </c>
      <c r="D100" s="16" t="s">
        <v>312</v>
      </c>
      <c r="E100" s="54">
        <v>1</v>
      </c>
      <c r="F100" s="54">
        <v>0</v>
      </c>
      <c r="G100" s="54">
        <v>0</v>
      </c>
      <c r="H100" s="54">
        <v>1</v>
      </c>
      <c r="I100" s="54">
        <v>0</v>
      </c>
      <c r="J100" s="54">
        <v>0</v>
      </c>
      <c r="K100" s="54">
        <v>1</v>
      </c>
      <c r="L100" s="54">
        <v>0</v>
      </c>
      <c r="M100" s="54">
        <v>0</v>
      </c>
      <c r="N100" s="55">
        <f t="shared" si="27"/>
        <v>1</v>
      </c>
      <c r="O100" s="55">
        <f t="shared" si="25"/>
        <v>0</v>
      </c>
      <c r="P100" s="55">
        <f t="shared" si="26"/>
        <v>0</v>
      </c>
      <c r="Q100" s="56" t="s">
        <v>117</v>
      </c>
      <c r="R100" s="57" t="s">
        <v>110</v>
      </c>
      <c r="S100" s="1"/>
      <c r="T100" s="1"/>
      <c r="U100" s="1"/>
      <c r="V100" s="1"/>
      <c r="W100" s="1"/>
      <c r="X100" s="1"/>
      <c r="Y100" s="1"/>
      <c r="Z100" s="1"/>
    </row>
    <row r="101" spans="1:26" ht="32.25" customHeight="1" x14ac:dyDescent="0.3">
      <c r="A101" s="16" t="s">
        <v>309</v>
      </c>
      <c r="B101" s="16" t="s">
        <v>335</v>
      </c>
      <c r="C101" s="16" t="s">
        <v>336</v>
      </c>
      <c r="D101" s="16" t="s">
        <v>315</v>
      </c>
      <c r="E101" s="82">
        <v>30000000</v>
      </c>
      <c r="F101" s="82">
        <v>0</v>
      </c>
      <c r="G101" s="82">
        <v>0</v>
      </c>
      <c r="H101" s="82">
        <v>40000000</v>
      </c>
      <c r="I101" s="82">
        <v>0</v>
      </c>
      <c r="J101" s="82">
        <v>0</v>
      </c>
      <c r="K101" s="82">
        <v>50000000</v>
      </c>
      <c r="L101" s="82">
        <v>0</v>
      </c>
      <c r="M101" s="82">
        <v>0</v>
      </c>
      <c r="N101" s="80">
        <f t="shared" si="27"/>
        <v>40000000</v>
      </c>
      <c r="O101" s="80">
        <f t="shared" si="25"/>
        <v>0</v>
      </c>
      <c r="P101" s="80">
        <f t="shared" si="26"/>
        <v>0</v>
      </c>
      <c r="Q101" s="56" t="s">
        <v>117</v>
      </c>
      <c r="R101" s="57" t="s">
        <v>110</v>
      </c>
      <c r="S101" s="1"/>
      <c r="T101" s="1"/>
      <c r="U101" s="1"/>
      <c r="V101" s="1"/>
      <c r="W101" s="1"/>
      <c r="X101" s="1"/>
      <c r="Y101" s="1"/>
      <c r="Z101" s="1"/>
    </row>
    <row r="102" spans="1:26" ht="17.25" customHeight="1" x14ac:dyDescent="0.3">
      <c r="A102" s="16" t="s">
        <v>309</v>
      </c>
      <c r="B102" s="16" t="s">
        <v>337</v>
      </c>
      <c r="C102" s="16" t="s">
        <v>338</v>
      </c>
      <c r="D102" s="16" t="s">
        <v>312</v>
      </c>
      <c r="E102" s="54">
        <v>1</v>
      </c>
      <c r="F102" s="54">
        <v>0</v>
      </c>
      <c r="G102" s="54">
        <v>0</v>
      </c>
      <c r="H102" s="54">
        <v>1</v>
      </c>
      <c r="I102" s="54">
        <v>0</v>
      </c>
      <c r="J102" s="54">
        <v>0</v>
      </c>
      <c r="K102" s="54">
        <v>1</v>
      </c>
      <c r="L102" s="54">
        <v>0</v>
      </c>
      <c r="M102" s="54">
        <v>0</v>
      </c>
      <c r="N102" s="55">
        <f t="shared" si="27"/>
        <v>1</v>
      </c>
      <c r="O102" s="55">
        <f t="shared" si="25"/>
        <v>0</v>
      </c>
      <c r="P102" s="55">
        <f t="shared" si="26"/>
        <v>0</v>
      </c>
      <c r="Q102" s="56" t="s">
        <v>117</v>
      </c>
      <c r="R102" s="57" t="s">
        <v>110</v>
      </c>
      <c r="S102" s="1"/>
      <c r="T102" s="1"/>
      <c r="U102" s="1"/>
      <c r="V102" s="1"/>
      <c r="W102" s="1"/>
      <c r="X102" s="1"/>
      <c r="Y102" s="1"/>
      <c r="Z102" s="1"/>
    </row>
    <row r="103" spans="1:26" ht="32.25" customHeight="1" x14ac:dyDescent="0.3">
      <c r="A103" s="16" t="s">
        <v>309</v>
      </c>
      <c r="B103" s="16" t="s">
        <v>339</v>
      </c>
      <c r="C103" s="16" t="s">
        <v>340</v>
      </c>
      <c r="D103" s="16" t="s">
        <v>315</v>
      </c>
      <c r="E103" s="82">
        <v>5000000</v>
      </c>
      <c r="F103" s="82">
        <v>0</v>
      </c>
      <c r="G103" s="82">
        <v>0</v>
      </c>
      <c r="H103" s="82">
        <v>5000000</v>
      </c>
      <c r="I103" s="82">
        <v>0</v>
      </c>
      <c r="J103" s="82">
        <v>0</v>
      </c>
      <c r="K103" s="82">
        <v>5000000</v>
      </c>
      <c r="L103" s="82">
        <v>0</v>
      </c>
      <c r="M103" s="82">
        <v>0</v>
      </c>
      <c r="N103" s="80">
        <f t="shared" si="27"/>
        <v>5000000</v>
      </c>
      <c r="O103" s="80">
        <f t="shared" si="25"/>
        <v>0</v>
      </c>
      <c r="P103" s="80">
        <f t="shared" si="26"/>
        <v>0</v>
      </c>
      <c r="Q103" s="56" t="s">
        <v>117</v>
      </c>
      <c r="R103" s="57" t="s">
        <v>110</v>
      </c>
      <c r="S103" s="1"/>
      <c r="T103" s="1"/>
      <c r="U103" s="1"/>
      <c r="V103" s="1"/>
      <c r="W103" s="1"/>
      <c r="X103" s="1"/>
      <c r="Y103" s="1"/>
      <c r="Z103" s="1"/>
    </row>
    <row r="104" spans="1:26" ht="48" customHeight="1" x14ac:dyDescent="0.3">
      <c r="A104" s="16" t="s">
        <v>309</v>
      </c>
      <c r="B104" s="16" t="s">
        <v>341</v>
      </c>
      <c r="C104" s="16" t="s">
        <v>342</v>
      </c>
      <c r="D104" s="16" t="s">
        <v>312</v>
      </c>
      <c r="E104" s="54">
        <v>1</v>
      </c>
      <c r="F104" s="54">
        <v>0</v>
      </c>
      <c r="G104" s="54">
        <v>0</v>
      </c>
      <c r="H104" s="54">
        <v>1</v>
      </c>
      <c r="I104" s="54">
        <v>0</v>
      </c>
      <c r="J104" s="54">
        <v>0</v>
      </c>
      <c r="K104" s="54">
        <v>1</v>
      </c>
      <c r="L104" s="54">
        <v>0</v>
      </c>
      <c r="M104" s="54">
        <v>0</v>
      </c>
      <c r="N104" s="55">
        <f t="shared" si="27"/>
        <v>1</v>
      </c>
      <c r="O104" s="55">
        <f t="shared" si="25"/>
        <v>0</v>
      </c>
      <c r="P104" s="55">
        <f t="shared" si="26"/>
        <v>0</v>
      </c>
      <c r="Q104" s="56" t="s">
        <v>343</v>
      </c>
      <c r="R104" s="57" t="s">
        <v>187</v>
      </c>
      <c r="S104" s="1"/>
      <c r="T104" s="1"/>
      <c r="U104" s="1"/>
      <c r="V104" s="1"/>
      <c r="W104" s="1"/>
      <c r="X104" s="1"/>
      <c r="Y104" s="1"/>
      <c r="Z104" s="1"/>
    </row>
    <row r="105" spans="1:26" ht="48" customHeight="1" x14ac:dyDescent="0.3">
      <c r="A105" s="16" t="s">
        <v>309</v>
      </c>
      <c r="B105" s="16" t="s">
        <v>344</v>
      </c>
      <c r="C105" s="16" t="s">
        <v>345</v>
      </c>
      <c r="D105" s="16" t="s">
        <v>315</v>
      </c>
      <c r="E105" s="82">
        <v>2600000</v>
      </c>
      <c r="F105" s="82">
        <v>0</v>
      </c>
      <c r="G105" s="82">
        <v>0</v>
      </c>
      <c r="H105" s="82">
        <v>2600000</v>
      </c>
      <c r="I105" s="82">
        <v>0</v>
      </c>
      <c r="J105" s="82">
        <v>0</v>
      </c>
      <c r="K105" s="82">
        <v>2600000</v>
      </c>
      <c r="L105" s="82">
        <v>0</v>
      </c>
      <c r="M105" s="82">
        <v>0</v>
      </c>
      <c r="N105" s="80">
        <f t="shared" si="27"/>
        <v>2600000</v>
      </c>
      <c r="O105" s="80">
        <f t="shared" si="25"/>
        <v>0</v>
      </c>
      <c r="P105" s="80">
        <f t="shared" si="26"/>
        <v>0</v>
      </c>
      <c r="Q105" s="56" t="s">
        <v>346</v>
      </c>
      <c r="R105" s="57" t="s">
        <v>187</v>
      </c>
      <c r="S105" s="1"/>
      <c r="T105" s="1"/>
      <c r="U105" s="1"/>
      <c r="V105" s="1"/>
      <c r="W105" s="1"/>
      <c r="X105" s="1"/>
      <c r="Y105" s="1"/>
      <c r="Z105" s="1"/>
    </row>
    <row r="106" spans="1:26" ht="17.25" customHeight="1" x14ac:dyDescent="0.3">
      <c r="A106" s="16" t="s">
        <v>309</v>
      </c>
      <c r="B106" s="71" t="s">
        <v>347</v>
      </c>
      <c r="C106" s="71" t="s">
        <v>348</v>
      </c>
      <c r="D106" s="16" t="s">
        <v>312</v>
      </c>
      <c r="E106" s="54">
        <v>1</v>
      </c>
      <c r="F106" s="82">
        <v>0</v>
      </c>
      <c r="G106" s="82">
        <v>0</v>
      </c>
      <c r="H106" s="54">
        <v>1</v>
      </c>
      <c r="I106" s="82">
        <v>0</v>
      </c>
      <c r="J106" s="82">
        <v>0</v>
      </c>
      <c r="K106" s="54">
        <v>1</v>
      </c>
      <c r="L106" s="88">
        <v>0</v>
      </c>
      <c r="M106" s="88">
        <v>0</v>
      </c>
      <c r="N106" s="55">
        <f t="shared" si="27"/>
        <v>1</v>
      </c>
      <c r="O106" s="55">
        <f t="shared" si="25"/>
        <v>0</v>
      </c>
      <c r="P106" s="55">
        <f t="shared" si="26"/>
        <v>0</v>
      </c>
      <c r="Q106" s="56" t="s">
        <v>117</v>
      </c>
      <c r="R106" s="57" t="s">
        <v>110</v>
      </c>
      <c r="S106" s="65"/>
      <c r="T106" s="65"/>
      <c r="U106" s="65"/>
      <c r="V106" s="65"/>
      <c r="W106" s="65"/>
      <c r="X106" s="65"/>
      <c r="Y106" s="65"/>
      <c r="Z106" s="1"/>
    </row>
    <row r="107" spans="1:26" ht="32.25" customHeight="1" x14ac:dyDescent="0.3">
      <c r="A107" s="16" t="s">
        <v>309</v>
      </c>
      <c r="B107" s="71" t="s">
        <v>349</v>
      </c>
      <c r="C107" s="71" t="s">
        <v>350</v>
      </c>
      <c r="D107" s="16" t="s">
        <v>315</v>
      </c>
      <c r="E107" s="82">
        <v>6000000</v>
      </c>
      <c r="F107" s="82">
        <v>0</v>
      </c>
      <c r="G107" s="82">
        <v>0</v>
      </c>
      <c r="H107" s="82">
        <v>6000000</v>
      </c>
      <c r="I107" s="89">
        <v>0</v>
      </c>
      <c r="J107" s="90">
        <v>0</v>
      </c>
      <c r="K107" s="82">
        <v>6000000</v>
      </c>
      <c r="L107" s="90">
        <v>0</v>
      </c>
      <c r="M107" s="90">
        <v>0</v>
      </c>
      <c r="N107" s="80">
        <f t="shared" si="27"/>
        <v>6000000</v>
      </c>
      <c r="O107" s="55">
        <f t="shared" si="25"/>
        <v>0</v>
      </c>
      <c r="P107" s="55">
        <f t="shared" si="26"/>
        <v>0</v>
      </c>
      <c r="Q107" s="56" t="s">
        <v>117</v>
      </c>
      <c r="R107" s="57" t="s">
        <v>110</v>
      </c>
      <c r="S107" s="65"/>
      <c r="T107" s="65"/>
      <c r="U107" s="65"/>
      <c r="V107" s="65"/>
      <c r="W107" s="65"/>
      <c r="X107" s="65"/>
      <c r="Y107" s="65"/>
      <c r="Z107" s="1"/>
    </row>
    <row r="108" spans="1:26" ht="17.25" customHeight="1" x14ac:dyDescent="0.3">
      <c r="A108" s="16" t="s">
        <v>309</v>
      </c>
      <c r="B108" s="71" t="s">
        <v>351</v>
      </c>
      <c r="C108" s="91" t="s">
        <v>352</v>
      </c>
      <c r="D108" s="16" t="s">
        <v>312</v>
      </c>
      <c r="E108" s="54">
        <v>1</v>
      </c>
      <c r="F108" s="82">
        <v>0</v>
      </c>
      <c r="G108" s="82">
        <v>0</v>
      </c>
      <c r="H108" s="54">
        <v>1</v>
      </c>
      <c r="I108" s="82">
        <v>0</v>
      </c>
      <c r="J108" s="82">
        <v>0</v>
      </c>
      <c r="K108" s="54">
        <v>1</v>
      </c>
      <c r="L108" s="88">
        <v>0</v>
      </c>
      <c r="M108" s="88">
        <v>0</v>
      </c>
      <c r="N108" s="55">
        <f t="shared" si="27"/>
        <v>1</v>
      </c>
      <c r="O108" s="55">
        <f t="shared" si="25"/>
        <v>0</v>
      </c>
      <c r="P108" s="55">
        <f t="shared" si="26"/>
        <v>0</v>
      </c>
      <c r="Q108" s="56" t="s">
        <v>117</v>
      </c>
      <c r="R108" s="57" t="s">
        <v>110</v>
      </c>
      <c r="S108" s="65"/>
      <c r="T108" s="65"/>
      <c r="U108" s="65"/>
      <c r="V108" s="65"/>
      <c r="W108" s="65"/>
      <c r="X108" s="65"/>
      <c r="Y108" s="65"/>
      <c r="Z108" s="1"/>
    </row>
    <row r="109" spans="1:26" ht="32.25" customHeight="1" x14ac:dyDescent="0.3">
      <c r="A109" s="16" t="s">
        <v>309</v>
      </c>
      <c r="B109" s="71" t="s">
        <v>353</v>
      </c>
      <c r="C109" s="91" t="s">
        <v>354</v>
      </c>
      <c r="D109" s="16" t="s">
        <v>315</v>
      </c>
      <c r="E109" s="82">
        <v>20000000</v>
      </c>
      <c r="F109" s="82">
        <v>0</v>
      </c>
      <c r="G109" s="82">
        <v>0</v>
      </c>
      <c r="H109" s="82">
        <v>20000000</v>
      </c>
      <c r="I109" s="89">
        <v>0</v>
      </c>
      <c r="J109" s="90">
        <v>0</v>
      </c>
      <c r="K109" s="82">
        <v>20000000</v>
      </c>
      <c r="L109" s="90">
        <v>0</v>
      </c>
      <c r="M109" s="90">
        <v>0</v>
      </c>
      <c r="N109" s="80">
        <f t="shared" si="27"/>
        <v>20000000</v>
      </c>
      <c r="O109" s="55">
        <f t="shared" si="25"/>
        <v>0</v>
      </c>
      <c r="P109" s="55">
        <f t="shared" si="26"/>
        <v>0</v>
      </c>
      <c r="Q109" s="56" t="s">
        <v>117</v>
      </c>
      <c r="R109" s="57" t="s">
        <v>110</v>
      </c>
      <c r="S109" s="65"/>
      <c r="T109" s="65"/>
      <c r="U109" s="65"/>
      <c r="V109" s="65"/>
      <c r="W109" s="65"/>
      <c r="X109" s="65"/>
      <c r="Y109" s="65"/>
      <c r="Z109" s="1"/>
    </row>
    <row r="110" spans="1:26" ht="17.25" customHeight="1" x14ac:dyDescent="0.3">
      <c r="A110" s="16" t="s">
        <v>309</v>
      </c>
      <c r="B110" s="16" t="s">
        <v>355</v>
      </c>
      <c r="C110" s="16" t="s">
        <v>356</v>
      </c>
      <c r="D110" s="16" t="s">
        <v>312</v>
      </c>
      <c r="E110" s="54">
        <v>1</v>
      </c>
      <c r="F110" s="82">
        <v>0</v>
      </c>
      <c r="G110" s="82">
        <v>0</v>
      </c>
      <c r="H110" s="54">
        <v>1</v>
      </c>
      <c r="I110" s="82">
        <v>0</v>
      </c>
      <c r="J110" s="82">
        <v>0</v>
      </c>
      <c r="K110" s="54">
        <v>1</v>
      </c>
      <c r="L110" s="88">
        <v>0</v>
      </c>
      <c r="M110" s="88">
        <v>0</v>
      </c>
      <c r="N110" s="55">
        <f t="shared" si="27"/>
        <v>1</v>
      </c>
      <c r="O110" s="55">
        <f t="shared" si="25"/>
        <v>0</v>
      </c>
      <c r="P110" s="55">
        <f t="shared" si="26"/>
        <v>0</v>
      </c>
      <c r="Q110" s="56" t="s">
        <v>117</v>
      </c>
      <c r="R110" s="57" t="s">
        <v>110</v>
      </c>
      <c r="S110" s="1"/>
      <c r="T110" s="1"/>
      <c r="U110" s="1"/>
      <c r="V110" s="1"/>
      <c r="W110" s="1"/>
      <c r="X110" s="1"/>
      <c r="Y110" s="1"/>
      <c r="Z110" s="1"/>
    </row>
    <row r="111" spans="1:26" ht="32.25" customHeight="1" x14ac:dyDescent="0.3">
      <c r="A111" s="16" t="s">
        <v>309</v>
      </c>
      <c r="B111" s="16" t="s">
        <v>357</v>
      </c>
      <c r="C111" s="16" t="s">
        <v>358</v>
      </c>
      <c r="D111" s="16" t="s">
        <v>315</v>
      </c>
      <c r="E111" s="82">
        <v>3000000</v>
      </c>
      <c r="F111" s="82">
        <v>0</v>
      </c>
      <c r="G111" s="82">
        <v>0</v>
      </c>
      <c r="H111" s="82">
        <v>3000000</v>
      </c>
      <c r="I111" s="89">
        <v>0</v>
      </c>
      <c r="J111" s="90">
        <v>0</v>
      </c>
      <c r="K111" s="82">
        <v>3000000</v>
      </c>
      <c r="L111" s="90">
        <v>0</v>
      </c>
      <c r="M111" s="90">
        <v>0</v>
      </c>
      <c r="N111" s="80">
        <f t="shared" si="27"/>
        <v>3000000</v>
      </c>
      <c r="O111" s="55">
        <f t="shared" si="25"/>
        <v>0</v>
      </c>
      <c r="P111" s="55">
        <f t="shared" si="26"/>
        <v>0</v>
      </c>
      <c r="Q111" s="56" t="s">
        <v>117</v>
      </c>
      <c r="R111" s="57" t="s">
        <v>110</v>
      </c>
      <c r="S111" s="1"/>
      <c r="T111" s="1"/>
      <c r="U111" s="1"/>
      <c r="V111" s="1"/>
      <c r="W111" s="1"/>
      <c r="X111" s="1"/>
      <c r="Y111" s="1"/>
      <c r="Z111" s="1"/>
    </row>
    <row r="112" spans="1:26" ht="32.25" customHeight="1" x14ac:dyDescent="0.3">
      <c r="A112" s="16" t="s">
        <v>309</v>
      </c>
      <c r="B112" s="16" t="s">
        <v>359</v>
      </c>
      <c r="C112" s="16" t="s">
        <v>360</v>
      </c>
      <c r="D112" s="16" t="s">
        <v>312</v>
      </c>
      <c r="E112" s="54">
        <v>1</v>
      </c>
      <c r="F112" s="82">
        <v>0</v>
      </c>
      <c r="G112" s="82">
        <v>0</v>
      </c>
      <c r="H112" s="54">
        <v>1</v>
      </c>
      <c r="I112" s="82">
        <v>0</v>
      </c>
      <c r="J112" s="82">
        <v>0</v>
      </c>
      <c r="K112" s="54">
        <v>1</v>
      </c>
      <c r="L112" s="88">
        <v>0</v>
      </c>
      <c r="M112" s="88">
        <v>0</v>
      </c>
      <c r="N112" s="55">
        <f t="shared" si="27"/>
        <v>1</v>
      </c>
      <c r="O112" s="55">
        <f t="shared" si="25"/>
        <v>0</v>
      </c>
      <c r="P112" s="55">
        <f t="shared" si="26"/>
        <v>0</v>
      </c>
      <c r="Q112" s="56" t="s">
        <v>117</v>
      </c>
      <c r="R112" s="57" t="s">
        <v>110</v>
      </c>
      <c r="S112" s="1"/>
      <c r="T112" s="1"/>
      <c r="U112" s="1"/>
      <c r="V112" s="1"/>
      <c r="W112" s="1"/>
      <c r="X112" s="1"/>
      <c r="Y112" s="1"/>
      <c r="Z112" s="1"/>
    </row>
    <row r="113" spans="1:26" ht="32.25" customHeight="1" x14ac:dyDescent="0.3">
      <c r="A113" s="16" t="s">
        <v>309</v>
      </c>
      <c r="B113" s="16" t="s">
        <v>361</v>
      </c>
      <c r="C113" s="16" t="s">
        <v>362</v>
      </c>
      <c r="D113" s="16" t="s">
        <v>315</v>
      </c>
      <c r="E113" s="82">
        <v>2000000</v>
      </c>
      <c r="F113" s="82">
        <v>0</v>
      </c>
      <c r="G113" s="82">
        <v>0</v>
      </c>
      <c r="H113" s="82">
        <v>2000000</v>
      </c>
      <c r="I113" s="89">
        <v>0</v>
      </c>
      <c r="J113" s="90">
        <v>0</v>
      </c>
      <c r="K113" s="82">
        <v>2000000</v>
      </c>
      <c r="L113" s="90">
        <v>0</v>
      </c>
      <c r="M113" s="90">
        <v>0</v>
      </c>
      <c r="N113" s="80">
        <f t="shared" si="27"/>
        <v>2000000</v>
      </c>
      <c r="O113" s="55">
        <f t="shared" si="25"/>
        <v>0</v>
      </c>
      <c r="P113" s="55">
        <f t="shared" si="26"/>
        <v>0</v>
      </c>
      <c r="Q113" s="56" t="s">
        <v>117</v>
      </c>
      <c r="R113" s="57" t="s">
        <v>110</v>
      </c>
      <c r="S113" s="1"/>
      <c r="T113" s="1"/>
      <c r="U113" s="1"/>
      <c r="V113" s="1"/>
      <c r="W113" s="1"/>
      <c r="X113" s="1"/>
      <c r="Y113" s="1"/>
      <c r="Z113" s="1"/>
    </row>
    <row r="114" spans="1:26" ht="17.25" customHeight="1" x14ac:dyDescent="0.3">
      <c r="A114" s="16" t="s">
        <v>309</v>
      </c>
      <c r="B114" s="16" t="s">
        <v>363</v>
      </c>
      <c r="C114" s="16" t="s">
        <v>364</v>
      </c>
      <c r="D114" s="16" t="s">
        <v>312</v>
      </c>
      <c r="E114" s="54">
        <v>5</v>
      </c>
      <c r="F114" s="54">
        <v>0</v>
      </c>
      <c r="G114" s="54">
        <v>0</v>
      </c>
      <c r="H114" s="54">
        <v>5</v>
      </c>
      <c r="I114" s="54">
        <v>0</v>
      </c>
      <c r="J114" s="54">
        <v>0</v>
      </c>
      <c r="K114" s="54">
        <v>5</v>
      </c>
      <c r="L114" s="54">
        <v>0</v>
      </c>
      <c r="M114" s="54">
        <v>0</v>
      </c>
      <c r="N114" s="55">
        <f t="shared" si="27"/>
        <v>5</v>
      </c>
      <c r="O114" s="55">
        <f t="shared" si="25"/>
        <v>0</v>
      </c>
      <c r="P114" s="55">
        <f t="shared" si="26"/>
        <v>0</v>
      </c>
      <c r="Q114" s="56" t="s">
        <v>117</v>
      </c>
      <c r="R114" s="57" t="s">
        <v>110</v>
      </c>
      <c r="S114" s="1"/>
      <c r="T114" s="1"/>
      <c r="U114" s="1"/>
      <c r="V114" s="1"/>
      <c r="W114" s="1"/>
      <c r="X114" s="1"/>
      <c r="Y114" s="1"/>
      <c r="Z114" s="1"/>
    </row>
    <row r="115" spans="1:26" ht="32.25" customHeight="1" x14ac:dyDescent="0.3">
      <c r="A115" s="16" t="s">
        <v>309</v>
      </c>
      <c r="B115" s="16" t="s">
        <v>365</v>
      </c>
      <c r="C115" s="16" t="s">
        <v>366</v>
      </c>
      <c r="D115" s="16" t="s">
        <v>315</v>
      </c>
      <c r="E115" s="82">
        <f>E130</f>
        <v>23100000</v>
      </c>
      <c r="F115" s="82">
        <v>0</v>
      </c>
      <c r="G115" s="82">
        <v>0</v>
      </c>
      <c r="H115" s="82">
        <f>H130</f>
        <v>24700000</v>
      </c>
      <c r="I115" s="82">
        <v>0</v>
      </c>
      <c r="J115" s="82">
        <v>0</v>
      </c>
      <c r="K115" s="82">
        <f>K130</f>
        <v>27000000</v>
      </c>
      <c r="L115" s="82">
        <v>0</v>
      </c>
      <c r="M115" s="82">
        <v>0</v>
      </c>
      <c r="N115" s="80">
        <f t="shared" si="27"/>
        <v>24700000</v>
      </c>
      <c r="O115" s="80">
        <f t="shared" si="25"/>
        <v>0</v>
      </c>
      <c r="P115" s="80">
        <f t="shared" si="26"/>
        <v>0</v>
      </c>
      <c r="Q115" s="56" t="s">
        <v>117</v>
      </c>
      <c r="R115" s="57" t="s">
        <v>110</v>
      </c>
      <c r="S115" s="1"/>
      <c r="T115" s="1"/>
      <c r="U115" s="1"/>
      <c r="V115" s="1"/>
      <c r="W115" s="1"/>
      <c r="X115" s="1"/>
      <c r="Y115" s="1"/>
      <c r="Z115" s="1"/>
    </row>
    <row r="116" spans="1:26" ht="17.25" customHeight="1" x14ac:dyDescent="0.3">
      <c r="A116" s="16" t="s">
        <v>309</v>
      </c>
      <c r="B116" s="16" t="s">
        <v>367</v>
      </c>
      <c r="C116" s="16" t="s">
        <v>368</v>
      </c>
      <c r="D116" s="16" t="s">
        <v>312</v>
      </c>
      <c r="E116" s="54">
        <v>1</v>
      </c>
      <c r="F116" s="54">
        <v>0</v>
      </c>
      <c r="G116" s="54">
        <v>0</v>
      </c>
      <c r="H116" s="54">
        <v>1</v>
      </c>
      <c r="I116" s="54">
        <v>0</v>
      </c>
      <c r="J116" s="54">
        <v>0</v>
      </c>
      <c r="K116" s="54">
        <v>1</v>
      </c>
      <c r="L116" s="54">
        <v>0</v>
      </c>
      <c r="M116" s="54">
        <v>0</v>
      </c>
      <c r="N116" s="55">
        <f t="shared" si="27"/>
        <v>1</v>
      </c>
      <c r="O116" s="55">
        <f t="shared" si="25"/>
        <v>0</v>
      </c>
      <c r="P116" s="55">
        <f t="shared" si="26"/>
        <v>0</v>
      </c>
      <c r="Q116" s="56" t="s">
        <v>117</v>
      </c>
      <c r="R116" s="57" t="s">
        <v>110</v>
      </c>
      <c r="S116" s="1"/>
      <c r="T116" s="1"/>
      <c r="U116" s="1"/>
      <c r="V116" s="1"/>
      <c r="W116" s="1"/>
      <c r="X116" s="1"/>
      <c r="Y116" s="1"/>
      <c r="Z116" s="1"/>
    </row>
    <row r="117" spans="1:26" ht="32.25" customHeight="1" x14ac:dyDescent="0.3">
      <c r="A117" s="16" t="s">
        <v>309</v>
      </c>
      <c r="B117" s="16" t="s">
        <v>369</v>
      </c>
      <c r="C117" s="16" t="s">
        <v>370</v>
      </c>
      <c r="D117" s="16" t="s">
        <v>315</v>
      </c>
      <c r="E117" s="82">
        <f>E132</f>
        <v>15500000</v>
      </c>
      <c r="F117" s="82">
        <v>0</v>
      </c>
      <c r="G117" s="82">
        <v>0</v>
      </c>
      <c r="H117" s="82">
        <f>H132</f>
        <v>16300000</v>
      </c>
      <c r="I117" s="82">
        <v>0</v>
      </c>
      <c r="J117" s="82">
        <v>0</v>
      </c>
      <c r="K117" s="82">
        <f>K132</f>
        <v>18000000</v>
      </c>
      <c r="L117" s="82">
        <v>0</v>
      </c>
      <c r="M117" s="82">
        <v>0</v>
      </c>
      <c r="N117" s="80">
        <f t="shared" si="27"/>
        <v>16300000</v>
      </c>
      <c r="O117" s="80">
        <f t="shared" si="25"/>
        <v>0</v>
      </c>
      <c r="P117" s="80">
        <f t="shared" si="26"/>
        <v>0</v>
      </c>
      <c r="Q117" s="56" t="s">
        <v>117</v>
      </c>
      <c r="R117" s="57" t="s">
        <v>110</v>
      </c>
      <c r="S117" s="1"/>
      <c r="T117" s="1"/>
      <c r="U117" s="1"/>
      <c r="V117" s="1"/>
      <c r="W117" s="1"/>
      <c r="X117" s="1"/>
      <c r="Y117" s="1"/>
      <c r="Z117" s="1"/>
    </row>
    <row r="118" spans="1:26" ht="17.25" customHeight="1" x14ac:dyDescent="0.3">
      <c r="A118" s="16" t="s">
        <v>309</v>
      </c>
      <c r="B118" s="16" t="s">
        <v>371</v>
      </c>
      <c r="C118" s="16" t="s">
        <v>372</v>
      </c>
      <c r="D118" s="16" t="s">
        <v>312</v>
      </c>
      <c r="E118" s="54">
        <v>1</v>
      </c>
      <c r="F118" s="54">
        <v>0</v>
      </c>
      <c r="G118" s="54">
        <v>0</v>
      </c>
      <c r="H118" s="54">
        <v>1</v>
      </c>
      <c r="I118" s="54">
        <v>0</v>
      </c>
      <c r="J118" s="54">
        <v>0</v>
      </c>
      <c r="K118" s="54">
        <v>1</v>
      </c>
      <c r="L118" s="54">
        <v>0</v>
      </c>
      <c r="M118" s="54">
        <v>0</v>
      </c>
      <c r="N118" s="55">
        <f t="shared" si="27"/>
        <v>1</v>
      </c>
      <c r="O118" s="55">
        <f t="shared" si="25"/>
        <v>0</v>
      </c>
      <c r="P118" s="55">
        <f t="shared" si="26"/>
        <v>0</v>
      </c>
      <c r="Q118" s="56" t="s">
        <v>117</v>
      </c>
      <c r="R118" s="57" t="s">
        <v>110</v>
      </c>
      <c r="S118" s="1"/>
      <c r="T118" s="1"/>
      <c r="U118" s="1"/>
      <c r="V118" s="1"/>
      <c r="W118" s="1"/>
      <c r="X118" s="1"/>
      <c r="Y118" s="1"/>
      <c r="Z118" s="1"/>
    </row>
    <row r="119" spans="1:26" ht="32.25" customHeight="1" x14ac:dyDescent="0.3">
      <c r="A119" s="16" t="s">
        <v>309</v>
      </c>
      <c r="B119" s="16" t="s">
        <v>373</v>
      </c>
      <c r="C119" s="16" t="s">
        <v>374</v>
      </c>
      <c r="D119" s="16" t="s">
        <v>315</v>
      </c>
      <c r="E119" s="82">
        <v>60000000</v>
      </c>
      <c r="F119" s="82">
        <v>0</v>
      </c>
      <c r="G119" s="82">
        <v>0</v>
      </c>
      <c r="H119" s="82">
        <v>80000000</v>
      </c>
      <c r="I119" s="82">
        <v>0</v>
      </c>
      <c r="J119" s="82">
        <v>0</v>
      </c>
      <c r="K119" s="82">
        <v>100000000</v>
      </c>
      <c r="L119" s="82">
        <v>0</v>
      </c>
      <c r="M119" s="82">
        <v>0</v>
      </c>
      <c r="N119" s="80">
        <f t="shared" si="27"/>
        <v>80000000</v>
      </c>
      <c r="O119" s="80">
        <f t="shared" si="25"/>
        <v>0</v>
      </c>
      <c r="P119" s="80">
        <f t="shared" si="26"/>
        <v>0</v>
      </c>
      <c r="Q119" s="56" t="s">
        <v>117</v>
      </c>
      <c r="R119" s="57" t="s">
        <v>110</v>
      </c>
      <c r="S119" s="1"/>
      <c r="T119" s="1"/>
      <c r="U119" s="1"/>
      <c r="V119" s="1"/>
      <c r="W119" s="1"/>
      <c r="X119" s="1"/>
      <c r="Y119" s="1"/>
      <c r="Z119" s="1"/>
    </row>
    <row r="120" spans="1:26" ht="32.25" customHeight="1" x14ac:dyDescent="0.3">
      <c r="A120" s="16" t="s">
        <v>309</v>
      </c>
      <c r="B120" s="16" t="s">
        <v>375</v>
      </c>
      <c r="C120" s="16" t="s">
        <v>376</v>
      </c>
      <c r="D120" s="16" t="s">
        <v>312</v>
      </c>
      <c r="E120" s="54">
        <v>1</v>
      </c>
      <c r="F120" s="54">
        <v>0</v>
      </c>
      <c r="G120" s="54">
        <v>0</v>
      </c>
      <c r="H120" s="54">
        <v>1</v>
      </c>
      <c r="I120" s="54">
        <v>0</v>
      </c>
      <c r="J120" s="54">
        <v>0</v>
      </c>
      <c r="K120" s="54">
        <v>1</v>
      </c>
      <c r="L120" s="54">
        <v>0</v>
      </c>
      <c r="M120" s="54">
        <v>0</v>
      </c>
      <c r="N120" s="55">
        <f t="shared" si="27"/>
        <v>1</v>
      </c>
      <c r="O120" s="55">
        <f t="shared" si="25"/>
        <v>0</v>
      </c>
      <c r="P120" s="55">
        <f t="shared" si="26"/>
        <v>0</v>
      </c>
      <c r="Q120" s="56" t="s">
        <v>117</v>
      </c>
      <c r="R120" s="57" t="s">
        <v>110</v>
      </c>
      <c r="S120" s="1"/>
      <c r="T120" s="1"/>
      <c r="U120" s="1"/>
      <c r="V120" s="1"/>
      <c r="W120" s="1"/>
      <c r="X120" s="1"/>
      <c r="Y120" s="1"/>
      <c r="Z120" s="1"/>
    </row>
    <row r="121" spans="1:26" ht="32.25" customHeight="1" x14ac:dyDescent="0.3">
      <c r="A121" s="16" t="s">
        <v>309</v>
      </c>
      <c r="B121" s="16" t="s">
        <v>377</v>
      </c>
      <c r="C121" s="16" t="s">
        <v>378</v>
      </c>
      <c r="D121" s="16" t="s">
        <v>315</v>
      </c>
      <c r="E121" s="82">
        <v>100000000</v>
      </c>
      <c r="F121" s="82">
        <v>0</v>
      </c>
      <c r="G121" s="82">
        <v>0</v>
      </c>
      <c r="H121" s="82">
        <v>150000000</v>
      </c>
      <c r="I121" s="82">
        <v>0</v>
      </c>
      <c r="J121" s="82">
        <v>0</v>
      </c>
      <c r="K121" s="82">
        <v>200000000</v>
      </c>
      <c r="L121" s="82">
        <v>0</v>
      </c>
      <c r="M121" s="82">
        <v>0</v>
      </c>
      <c r="N121" s="80">
        <f t="shared" si="27"/>
        <v>150000000</v>
      </c>
      <c r="O121" s="80">
        <f t="shared" si="25"/>
        <v>0</v>
      </c>
      <c r="P121" s="80">
        <f t="shared" si="26"/>
        <v>0</v>
      </c>
      <c r="Q121" s="56" t="s">
        <v>117</v>
      </c>
      <c r="R121" s="57" t="s">
        <v>110</v>
      </c>
      <c r="S121" s="1"/>
      <c r="T121" s="1"/>
      <c r="U121" s="1"/>
      <c r="V121" s="1"/>
      <c r="W121" s="1"/>
      <c r="X121" s="1"/>
      <c r="Y121" s="1"/>
      <c r="Z121" s="1"/>
    </row>
    <row r="122" spans="1:26" ht="17.25" customHeight="1" x14ac:dyDescent="0.3">
      <c r="A122" s="16" t="s">
        <v>309</v>
      </c>
      <c r="B122" s="16" t="s">
        <v>379</v>
      </c>
      <c r="C122" s="16" t="s">
        <v>380</v>
      </c>
      <c r="D122" s="16" t="s">
        <v>312</v>
      </c>
      <c r="E122" s="54">
        <v>1</v>
      </c>
      <c r="F122" s="54">
        <v>0</v>
      </c>
      <c r="G122" s="54">
        <v>0</v>
      </c>
      <c r="H122" s="54">
        <v>1</v>
      </c>
      <c r="I122" s="54">
        <v>0</v>
      </c>
      <c r="J122" s="54">
        <v>0</v>
      </c>
      <c r="K122" s="54">
        <v>1</v>
      </c>
      <c r="L122" s="54">
        <v>0</v>
      </c>
      <c r="M122" s="54">
        <v>0</v>
      </c>
      <c r="N122" s="55">
        <f t="shared" si="27"/>
        <v>1</v>
      </c>
      <c r="O122" s="55">
        <f t="shared" si="25"/>
        <v>0</v>
      </c>
      <c r="P122" s="55">
        <f t="shared" si="26"/>
        <v>0</v>
      </c>
      <c r="Q122" s="56" t="s">
        <v>117</v>
      </c>
      <c r="R122" s="57" t="s">
        <v>110</v>
      </c>
      <c r="S122" s="1"/>
      <c r="T122" s="1"/>
      <c r="U122" s="1"/>
      <c r="V122" s="1"/>
      <c r="W122" s="1"/>
      <c r="X122" s="1"/>
      <c r="Y122" s="1"/>
      <c r="Z122" s="1"/>
    </row>
    <row r="123" spans="1:26" ht="32.25" customHeight="1" x14ac:dyDescent="0.3">
      <c r="A123" s="16" t="s">
        <v>309</v>
      </c>
      <c r="B123" s="16" t="s">
        <v>381</v>
      </c>
      <c r="C123" s="16" t="s">
        <v>382</v>
      </c>
      <c r="D123" s="16" t="s">
        <v>315</v>
      </c>
      <c r="E123" s="82">
        <v>15000000</v>
      </c>
      <c r="F123" s="82">
        <v>0</v>
      </c>
      <c r="G123" s="82">
        <v>0</v>
      </c>
      <c r="H123" s="82">
        <v>20000000</v>
      </c>
      <c r="I123" s="82">
        <v>0</v>
      </c>
      <c r="J123" s="82">
        <v>0</v>
      </c>
      <c r="K123" s="82">
        <v>25000000</v>
      </c>
      <c r="L123" s="82">
        <v>0</v>
      </c>
      <c r="M123" s="82">
        <v>0</v>
      </c>
      <c r="N123" s="80">
        <f t="shared" si="27"/>
        <v>20000000</v>
      </c>
      <c r="O123" s="80">
        <f t="shared" si="25"/>
        <v>0</v>
      </c>
      <c r="P123" s="80">
        <f t="shared" si="26"/>
        <v>0</v>
      </c>
      <c r="Q123" s="56" t="s">
        <v>117</v>
      </c>
      <c r="R123" s="57" t="s">
        <v>110</v>
      </c>
      <c r="S123" s="1"/>
      <c r="T123" s="1"/>
      <c r="U123" s="1"/>
      <c r="V123" s="1"/>
      <c r="W123" s="1"/>
      <c r="X123" s="1"/>
      <c r="Y123" s="1"/>
      <c r="Z123" s="1"/>
    </row>
    <row r="124" spans="1:26" ht="17.25" customHeight="1" x14ac:dyDescent="0.3">
      <c r="A124" s="16" t="s">
        <v>309</v>
      </c>
      <c r="B124" s="16" t="s">
        <v>383</v>
      </c>
      <c r="C124" s="16" t="s">
        <v>384</v>
      </c>
      <c r="D124" s="16" t="s">
        <v>312</v>
      </c>
      <c r="E124" s="54">
        <v>1</v>
      </c>
      <c r="F124" s="54">
        <v>0</v>
      </c>
      <c r="G124" s="54">
        <v>0</v>
      </c>
      <c r="H124" s="54">
        <v>1</v>
      </c>
      <c r="I124" s="54">
        <v>0</v>
      </c>
      <c r="J124" s="54">
        <v>0</v>
      </c>
      <c r="K124" s="54">
        <v>1</v>
      </c>
      <c r="L124" s="54">
        <v>0</v>
      </c>
      <c r="M124" s="54">
        <v>0</v>
      </c>
      <c r="N124" s="55">
        <f t="shared" si="27"/>
        <v>1</v>
      </c>
      <c r="O124" s="55">
        <f t="shared" si="25"/>
        <v>0</v>
      </c>
      <c r="P124" s="55">
        <f t="shared" si="26"/>
        <v>0</v>
      </c>
      <c r="Q124" s="56" t="s">
        <v>117</v>
      </c>
      <c r="R124" s="57" t="s">
        <v>110</v>
      </c>
      <c r="S124" s="1"/>
      <c r="T124" s="1"/>
      <c r="U124" s="1"/>
      <c r="V124" s="1"/>
      <c r="W124" s="1"/>
      <c r="X124" s="1"/>
      <c r="Y124" s="1"/>
      <c r="Z124" s="1"/>
    </row>
    <row r="125" spans="1:26" ht="48" customHeight="1" x14ac:dyDescent="0.3">
      <c r="A125" s="16" t="s">
        <v>309</v>
      </c>
      <c r="B125" s="16" t="s">
        <v>385</v>
      </c>
      <c r="C125" s="16" t="s">
        <v>386</v>
      </c>
      <c r="D125" s="16" t="s">
        <v>315</v>
      </c>
      <c r="E125" s="82">
        <v>255000000</v>
      </c>
      <c r="F125" s="82">
        <v>0</v>
      </c>
      <c r="G125" s="82">
        <v>0</v>
      </c>
      <c r="H125" s="82">
        <v>300000000</v>
      </c>
      <c r="I125" s="82">
        <v>0</v>
      </c>
      <c r="J125" s="82">
        <v>0</v>
      </c>
      <c r="K125" s="82">
        <v>360000000</v>
      </c>
      <c r="L125" s="82">
        <v>0</v>
      </c>
      <c r="M125" s="82">
        <v>0</v>
      </c>
      <c r="N125" s="80">
        <f t="shared" si="27"/>
        <v>300000000</v>
      </c>
      <c r="O125" s="80">
        <f t="shared" si="25"/>
        <v>0</v>
      </c>
      <c r="P125" s="80">
        <f t="shared" si="26"/>
        <v>0</v>
      </c>
      <c r="Q125" s="56" t="s">
        <v>387</v>
      </c>
      <c r="R125" s="57" t="s">
        <v>388</v>
      </c>
      <c r="S125" s="1"/>
      <c r="T125" s="1"/>
      <c r="U125" s="1"/>
      <c r="V125" s="1"/>
      <c r="W125" s="1"/>
      <c r="X125" s="1"/>
      <c r="Y125" s="1"/>
      <c r="Z125" s="1"/>
    </row>
    <row r="126" spans="1:26" ht="17.25" customHeight="1" x14ac:dyDescent="0.3">
      <c r="A126" s="16" t="s">
        <v>309</v>
      </c>
      <c r="B126" s="16" t="s">
        <v>389</v>
      </c>
      <c r="C126" s="16" t="s">
        <v>390</v>
      </c>
      <c r="D126" s="16" t="s">
        <v>312</v>
      </c>
      <c r="E126" s="54">
        <v>1</v>
      </c>
      <c r="F126" s="54">
        <v>0</v>
      </c>
      <c r="G126" s="54">
        <v>0</v>
      </c>
      <c r="H126" s="54">
        <v>1</v>
      </c>
      <c r="I126" s="54">
        <v>0</v>
      </c>
      <c r="J126" s="54">
        <v>0</v>
      </c>
      <c r="K126" s="54">
        <v>1</v>
      </c>
      <c r="L126" s="54">
        <v>0</v>
      </c>
      <c r="M126" s="54">
        <v>0</v>
      </c>
      <c r="N126" s="55">
        <f t="shared" si="27"/>
        <v>1</v>
      </c>
      <c r="O126" s="55">
        <f t="shared" si="25"/>
        <v>0</v>
      </c>
      <c r="P126" s="55">
        <f t="shared" si="26"/>
        <v>0</v>
      </c>
      <c r="Q126" s="56" t="s">
        <v>117</v>
      </c>
      <c r="R126" s="57" t="s">
        <v>110</v>
      </c>
      <c r="S126" s="1"/>
      <c r="T126" s="1"/>
      <c r="U126" s="1"/>
      <c r="V126" s="1"/>
      <c r="W126" s="1"/>
      <c r="X126" s="1"/>
      <c r="Y126" s="1"/>
      <c r="Z126" s="1"/>
    </row>
    <row r="127" spans="1:26" ht="32.25" customHeight="1" x14ac:dyDescent="0.3">
      <c r="A127" s="16" t="s">
        <v>309</v>
      </c>
      <c r="B127" s="16" t="s">
        <v>391</v>
      </c>
      <c r="C127" s="16" t="s">
        <v>392</v>
      </c>
      <c r="D127" s="16" t="s">
        <v>315</v>
      </c>
      <c r="E127" s="82">
        <v>200000000</v>
      </c>
      <c r="F127" s="82">
        <v>0</v>
      </c>
      <c r="G127" s="82">
        <v>0</v>
      </c>
      <c r="H127" s="82">
        <v>300000000</v>
      </c>
      <c r="I127" s="82">
        <v>0</v>
      </c>
      <c r="J127" s="82">
        <v>0</v>
      </c>
      <c r="K127" s="82">
        <v>400000000</v>
      </c>
      <c r="L127" s="82">
        <v>0</v>
      </c>
      <c r="M127" s="82">
        <v>0</v>
      </c>
      <c r="N127" s="80">
        <f t="shared" si="27"/>
        <v>300000000</v>
      </c>
      <c r="O127" s="80">
        <f t="shared" si="25"/>
        <v>0</v>
      </c>
      <c r="P127" s="80">
        <f t="shared" si="26"/>
        <v>0</v>
      </c>
      <c r="Q127" s="56" t="s">
        <v>117</v>
      </c>
      <c r="R127" s="57" t="s">
        <v>110</v>
      </c>
      <c r="S127" s="1"/>
      <c r="T127" s="1"/>
      <c r="U127" s="1"/>
      <c r="V127" s="1"/>
      <c r="W127" s="1"/>
      <c r="X127" s="1"/>
      <c r="Y127" s="1"/>
      <c r="Z127" s="1"/>
    </row>
    <row r="128" spans="1:26" ht="19.5" customHeight="1" x14ac:dyDescent="0.3">
      <c r="A128" s="51" t="s">
        <v>393</v>
      </c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2"/>
      <c r="S128" s="53"/>
      <c r="T128" s="53"/>
      <c r="U128" s="53"/>
      <c r="V128" s="53"/>
      <c r="W128" s="53"/>
      <c r="X128" s="53"/>
      <c r="Y128" s="53"/>
      <c r="Z128" s="53"/>
    </row>
    <row r="129" spans="1:26" ht="32.25" customHeight="1" x14ac:dyDescent="0.3">
      <c r="A129" s="16" t="s">
        <v>394</v>
      </c>
      <c r="B129" s="16" t="s">
        <v>395</v>
      </c>
      <c r="C129" s="16" t="s">
        <v>396</v>
      </c>
      <c r="D129" s="16" t="s">
        <v>312</v>
      </c>
      <c r="E129" s="54">
        <v>5</v>
      </c>
      <c r="F129" s="54">
        <v>0</v>
      </c>
      <c r="G129" s="54">
        <v>0</v>
      </c>
      <c r="H129" s="54">
        <v>5</v>
      </c>
      <c r="I129" s="54">
        <v>0</v>
      </c>
      <c r="J129" s="54">
        <v>0</v>
      </c>
      <c r="K129" s="54">
        <v>5</v>
      </c>
      <c r="L129" s="54">
        <v>0</v>
      </c>
      <c r="M129" s="54">
        <v>0</v>
      </c>
      <c r="N129" s="55">
        <f t="shared" ref="N129:N142" si="28">IF($B$2="Thận trọng",E129,IF($B$2="Cơ sở",H129,K129))</f>
        <v>5</v>
      </c>
      <c r="O129" s="55">
        <f t="shared" ref="O129:O142" si="29">IF($B$2="Thận trọng",F129,IF($B$2="Cơ sở",I129,L129))</f>
        <v>0</v>
      </c>
      <c r="P129" s="55">
        <f t="shared" ref="P129:P142" si="30">IF($B$2="Thận trọng",G129,IF($B$2="Cơ sở",J129,M129))</f>
        <v>0</v>
      </c>
      <c r="Q129" s="56" t="s">
        <v>177</v>
      </c>
      <c r="R129" s="57" t="s">
        <v>110</v>
      </c>
      <c r="S129" s="1"/>
      <c r="T129" s="1"/>
      <c r="U129" s="1"/>
      <c r="V129" s="1"/>
      <c r="W129" s="1"/>
      <c r="X129" s="1"/>
      <c r="Y129" s="1"/>
      <c r="Z129" s="1"/>
    </row>
    <row r="130" spans="1:26" ht="63.75" customHeight="1" x14ac:dyDescent="0.3">
      <c r="A130" s="16" t="s">
        <v>394</v>
      </c>
      <c r="B130" s="16" t="s">
        <v>397</v>
      </c>
      <c r="C130" s="16" t="s">
        <v>398</v>
      </c>
      <c r="D130" s="16" t="s">
        <v>315</v>
      </c>
      <c r="E130" s="82">
        <v>23100000</v>
      </c>
      <c r="F130" s="82">
        <v>0</v>
      </c>
      <c r="G130" s="82">
        <v>0</v>
      </c>
      <c r="H130" s="82">
        <v>24700000</v>
      </c>
      <c r="I130" s="82">
        <v>0</v>
      </c>
      <c r="J130" s="82">
        <v>0</v>
      </c>
      <c r="K130" s="82">
        <v>27000000</v>
      </c>
      <c r="L130" s="82">
        <v>0</v>
      </c>
      <c r="M130" s="82">
        <v>0</v>
      </c>
      <c r="N130" s="80">
        <f t="shared" si="28"/>
        <v>24700000</v>
      </c>
      <c r="O130" s="80">
        <f t="shared" si="29"/>
        <v>0</v>
      </c>
      <c r="P130" s="80">
        <f t="shared" si="30"/>
        <v>0</v>
      </c>
      <c r="Q130" s="56" t="s">
        <v>399</v>
      </c>
      <c r="R130" s="57" t="s">
        <v>187</v>
      </c>
      <c r="S130" s="1"/>
      <c r="T130" s="1"/>
      <c r="U130" s="1"/>
      <c r="V130" s="1"/>
      <c r="W130" s="1"/>
      <c r="X130" s="1"/>
      <c r="Y130" s="1"/>
      <c r="Z130" s="1"/>
    </row>
    <row r="131" spans="1:26" ht="32.25" customHeight="1" x14ac:dyDescent="0.3">
      <c r="A131" s="16" t="s">
        <v>394</v>
      </c>
      <c r="B131" s="16" t="s">
        <v>400</v>
      </c>
      <c r="C131" s="16" t="s">
        <v>401</v>
      </c>
      <c r="D131" s="16" t="s">
        <v>312</v>
      </c>
      <c r="E131" s="54">
        <v>1</v>
      </c>
      <c r="F131" s="54">
        <v>0</v>
      </c>
      <c r="G131" s="54">
        <v>0</v>
      </c>
      <c r="H131" s="54">
        <v>1</v>
      </c>
      <c r="I131" s="54">
        <v>0</v>
      </c>
      <c r="J131" s="54">
        <v>0</v>
      </c>
      <c r="K131" s="54">
        <v>1</v>
      </c>
      <c r="L131" s="54">
        <v>0</v>
      </c>
      <c r="M131" s="54">
        <v>0</v>
      </c>
      <c r="N131" s="55">
        <f t="shared" si="28"/>
        <v>1</v>
      </c>
      <c r="O131" s="55">
        <f t="shared" si="29"/>
        <v>0</v>
      </c>
      <c r="P131" s="55">
        <f t="shared" si="30"/>
        <v>0</v>
      </c>
      <c r="Q131" s="56" t="s">
        <v>177</v>
      </c>
      <c r="R131" s="57" t="s">
        <v>110</v>
      </c>
      <c r="S131" s="1"/>
      <c r="T131" s="1"/>
      <c r="U131" s="1"/>
      <c r="V131" s="1"/>
      <c r="W131" s="1"/>
      <c r="X131" s="1"/>
      <c r="Y131" s="1"/>
      <c r="Z131" s="1"/>
    </row>
    <row r="132" spans="1:26" ht="48" customHeight="1" x14ac:dyDescent="0.3">
      <c r="A132" s="16" t="s">
        <v>394</v>
      </c>
      <c r="B132" s="16" t="s">
        <v>402</v>
      </c>
      <c r="C132" s="16" t="s">
        <v>403</v>
      </c>
      <c r="D132" s="16" t="s">
        <v>315</v>
      </c>
      <c r="E132" s="82">
        <v>15500000</v>
      </c>
      <c r="F132" s="82">
        <v>0</v>
      </c>
      <c r="G132" s="82">
        <v>0</v>
      </c>
      <c r="H132" s="82">
        <v>16300000</v>
      </c>
      <c r="I132" s="82">
        <v>0</v>
      </c>
      <c r="J132" s="82">
        <v>0</v>
      </c>
      <c r="K132" s="82">
        <v>18000000</v>
      </c>
      <c r="L132" s="82">
        <v>0</v>
      </c>
      <c r="M132" s="82">
        <v>0</v>
      </c>
      <c r="N132" s="80">
        <f t="shared" si="28"/>
        <v>16300000</v>
      </c>
      <c r="O132" s="80">
        <f t="shared" si="29"/>
        <v>0</v>
      </c>
      <c r="P132" s="80">
        <f t="shared" si="30"/>
        <v>0</v>
      </c>
      <c r="Q132" s="56" t="s">
        <v>404</v>
      </c>
      <c r="R132" s="57" t="s">
        <v>110</v>
      </c>
      <c r="S132" s="1"/>
      <c r="T132" s="1"/>
      <c r="U132" s="1"/>
      <c r="V132" s="1"/>
      <c r="W132" s="1"/>
      <c r="X132" s="1"/>
      <c r="Y132" s="1"/>
      <c r="Z132" s="1"/>
    </row>
    <row r="133" spans="1:26" ht="32.25" customHeight="1" x14ac:dyDescent="0.3">
      <c r="A133" s="16" t="s">
        <v>394</v>
      </c>
      <c r="B133" s="16" t="s">
        <v>405</v>
      </c>
      <c r="C133" s="16" t="s">
        <v>406</v>
      </c>
      <c r="D133" s="16" t="s">
        <v>312</v>
      </c>
      <c r="E133" s="54">
        <v>1</v>
      </c>
      <c r="F133" s="54">
        <v>0</v>
      </c>
      <c r="G133" s="54">
        <v>0</v>
      </c>
      <c r="H133" s="54">
        <v>1</v>
      </c>
      <c r="I133" s="54">
        <v>0</v>
      </c>
      <c r="J133" s="54">
        <v>0</v>
      </c>
      <c r="K133" s="54">
        <v>1</v>
      </c>
      <c r="L133" s="54">
        <v>0</v>
      </c>
      <c r="M133" s="54">
        <v>0</v>
      </c>
      <c r="N133" s="55">
        <f t="shared" si="28"/>
        <v>1</v>
      </c>
      <c r="O133" s="55">
        <f t="shared" si="29"/>
        <v>0</v>
      </c>
      <c r="P133" s="55">
        <f t="shared" si="30"/>
        <v>0</v>
      </c>
      <c r="Q133" s="56" t="s">
        <v>177</v>
      </c>
      <c r="R133" s="57" t="s">
        <v>110</v>
      </c>
      <c r="S133" s="1"/>
      <c r="T133" s="1"/>
      <c r="U133" s="1"/>
      <c r="V133" s="1"/>
      <c r="W133" s="1"/>
      <c r="X133" s="1"/>
      <c r="Y133" s="1"/>
      <c r="Z133" s="1"/>
    </row>
    <row r="134" spans="1:26" ht="32.25" customHeight="1" x14ac:dyDescent="0.3">
      <c r="A134" s="16" t="s">
        <v>394</v>
      </c>
      <c r="B134" s="16" t="s">
        <v>407</v>
      </c>
      <c r="C134" s="16" t="s">
        <v>408</v>
      </c>
      <c r="D134" s="16" t="s">
        <v>315</v>
      </c>
      <c r="E134" s="82">
        <v>6400000</v>
      </c>
      <c r="F134" s="82">
        <v>0</v>
      </c>
      <c r="G134" s="82">
        <v>0</v>
      </c>
      <c r="H134" s="82">
        <v>6400000</v>
      </c>
      <c r="I134" s="82">
        <v>0</v>
      </c>
      <c r="J134" s="82">
        <v>0</v>
      </c>
      <c r="K134" s="82">
        <v>6400000</v>
      </c>
      <c r="L134" s="82">
        <v>0</v>
      </c>
      <c r="M134" s="82">
        <v>0</v>
      </c>
      <c r="N134" s="80">
        <f t="shared" si="28"/>
        <v>6400000</v>
      </c>
      <c r="O134" s="80">
        <f t="shared" si="29"/>
        <v>0</v>
      </c>
      <c r="P134" s="80">
        <f t="shared" si="30"/>
        <v>0</v>
      </c>
      <c r="Q134" s="92" t="s">
        <v>21</v>
      </c>
      <c r="R134" s="57" t="s">
        <v>187</v>
      </c>
      <c r="S134" s="1"/>
      <c r="T134" s="1"/>
      <c r="U134" s="1"/>
      <c r="V134" s="1"/>
      <c r="W134" s="1"/>
      <c r="X134" s="1"/>
      <c r="Y134" s="1"/>
      <c r="Z134" s="1"/>
    </row>
    <row r="135" spans="1:26" ht="48" customHeight="1" x14ac:dyDescent="0.3">
      <c r="A135" s="16" t="s">
        <v>394</v>
      </c>
      <c r="B135" s="16" t="s">
        <v>341</v>
      </c>
      <c r="C135" s="16" t="s">
        <v>342</v>
      </c>
      <c r="D135" s="16" t="s">
        <v>312</v>
      </c>
      <c r="E135" s="54">
        <v>1</v>
      </c>
      <c r="F135" s="54">
        <v>0</v>
      </c>
      <c r="G135" s="54">
        <v>0</v>
      </c>
      <c r="H135" s="54">
        <v>1</v>
      </c>
      <c r="I135" s="54">
        <v>0</v>
      </c>
      <c r="J135" s="54">
        <v>0</v>
      </c>
      <c r="K135" s="54">
        <v>1</v>
      </c>
      <c r="L135" s="54">
        <v>0</v>
      </c>
      <c r="M135" s="54">
        <v>0</v>
      </c>
      <c r="N135" s="55">
        <f t="shared" si="28"/>
        <v>1</v>
      </c>
      <c r="O135" s="55">
        <f t="shared" si="29"/>
        <v>0</v>
      </c>
      <c r="P135" s="55">
        <f t="shared" si="30"/>
        <v>0</v>
      </c>
      <c r="Q135" s="56" t="s">
        <v>343</v>
      </c>
      <c r="R135" s="57" t="s">
        <v>187</v>
      </c>
      <c r="S135" s="1"/>
      <c r="T135" s="1"/>
      <c r="U135" s="1"/>
      <c r="V135" s="1"/>
      <c r="W135" s="1"/>
      <c r="X135" s="1"/>
      <c r="Y135" s="1"/>
      <c r="Z135" s="1"/>
    </row>
    <row r="136" spans="1:26" ht="48" customHeight="1" x14ac:dyDescent="0.3">
      <c r="A136" s="16" t="s">
        <v>394</v>
      </c>
      <c r="B136" s="16" t="s">
        <v>344</v>
      </c>
      <c r="C136" s="16" t="s">
        <v>345</v>
      </c>
      <c r="D136" s="16" t="s">
        <v>315</v>
      </c>
      <c r="E136" s="82">
        <v>2600000</v>
      </c>
      <c r="F136" s="82">
        <v>0</v>
      </c>
      <c r="G136" s="82">
        <v>0</v>
      </c>
      <c r="H136" s="82">
        <v>2600000</v>
      </c>
      <c r="I136" s="82">
        <v>0</v>
      </c>
      <c r="J136" s="82">
        <v>0</v>
      </c>
      <c r="K136" s="82">
        <v>2600000</v>
      </c>
      <c r="L136" s="82">
        <v>0</v>
      </c>
      <c r="M136" s="82">
        <v>0</v>
      </c>
      <c r="N136" s="80">
        <f t="shared" si="28"/>
        <v>2600000</v>
      </c>
      <c r="O136" s="80">
        <f t="shared" si="29"/>
        <v>0</v>
      </c>
      <c r="P136" s="80">
        <f t="shared" si="30"/>
        <v>0</v>
      </c>
      <c r="Q136" s="56" t="s">
        <v>346</v>
      </c>
      <c r="R136" s="57" t="s">
        <v>187</v>
      </c>
      <c r="S136" s="1"/>
      <c r="T136" s="1"/>
      <c r="U136" s="1"/>
      <c r="V136" s="1"/>
      <c r="W136" s="1"/>
      <c r="X136" s="1"/>
      <c r="Y136" s="1"/>
      <c r="Z136" s="1"/>
    </row>
    <row r="137" spans="1:26" ht="32.25" customHeight="1" x14ac:dyDescent="0.3">
      <c r="A137" s="16" t="s">
        <v>394</v>
      </c>
      <c r="B137" s="16" t="s">
        <v>409</v>
      </c>
      <c r="C137" s="16" t="s">
        <v>410</v>
      </c>
      <c r="D137" s="16" t="s">
        <v>312</v>
      </c>
      <c r="E137" s="54">
        <v>2</v>
      </c>
      <c r="F137" s="54">
        <v>0</v>
      </c>
      <c r="G137" s="54">
        <v>0</v>
      </c>
      <c r="H137" s="54">
        <v>2</v>
      </c>
      <c r="I137" s="54">
        <v>0</v>
      </c>
      <c r="J137" s="54">
        <v>0</v>
      </c>
      <c r="K137" s="54">
        <v>2</v>
      </c>
      <c r="L137" s="54">
        <v>0</v>
      </c>
      <c r="M137" s="54">
        <v>0</v>
      </c>
      <c r="N137" s="55">
        <f t="shared" si="28"/>
        <v>2</v>
      </c>
      <c r="O137" s="55">
        <f t="shared" si="29"/>
        <v>0</v>
      </c>
      <c r="P137" s="55">
        <f t="shared" si="30"/>
        <v>0</v>
      </c>
      <c r="Q137" s="56" t="s">
        <v>177</v>
      </c>
      <c r="R137" s="57" t="s">
        <v>110</v>
      </c>
      <c r="S137" s="1"/>
      <c r="T137" s="1"/>
      <c r="U137" s="1"/>
      <c r="V137" s="1"/>
      <c r="W137" s="1"/>
      <c r="X137" s="1"/>
      <c r="Y137" s="1"/>
      <c r="Z137" s="1"/>
    </row>
    <row r="138" spans="1:26" ht="32.25" customHeight="1" x14ac:dyDescent="0.3">
      <c r="A138" s="16" t="s">
        <v>394</v>
      </c>
      <c r="B138" s="16" t="s">
        <v>411</v>
      </c>
      <c r="C138" s="16" t="s">
        <v>412</v>
      </c>
      <c r="D138" s="16" t="s">
        <v>315</v>
      </c>
      <c r="E138" s="82">
        <v>260000000</v>
      </c>
      <c r="F138" s="82">
        <v>0</v>
      </c>
      <c r="G138" s="82">
        <v>0</v>
      </c>
      <c r="H138" s="82">
        <v>320000000</v>
      </c>
      <c r="I138" s="82">
        <v>0</v>
      </c>
      <c r="J138" s="82">
        <v>0</v>
      </c>
      <c r="K138" s="82">
        <v>400000000</v>
      </c>
      <c r="L138" s="82">
        <v>0</v>
      </c>
      <c r="M138" s="82">
        <v>0</v>
      </c>
      <c r="N138" s="80">
        <f t="shared" si="28"/>
        <v>320000000</v>
      </c>
      <c r="O138" s="80">
        <f t="shared" si="29"/>
        <v>0</v>
      </c>
      <c r="P138" s="80">
        <f t="shared" si="30"/>
        <v>0</v>
      </c>
      <c r="Q138" s="56" t="s">
        <v>413</v>
      </c>
      <c r="R138" s="57" t="s">
        <v>110</v>
      </c>
      <c r="S138" s="1"/>
      <c r="T138" s="1"/>
      <c r="U138" s="1"/>
      <c r="V138" s="1"/>
      <c r="W138" s="1"/>
      <c r="X138" s="1"/>
      <c r="Y138" s="1"/>
      <c r="Z138" s="1"/>
    </row>
    <row r="139" spans="1:26" ht="32.25" customHeight="1" x14ac:dyDescent="0.3">
      <c r="A139" s="16" t="s">
        <v>394</v>
      </c>
      <c r="B139" s="16" t="s">
        <v>414</v>
      </c>
      <c r="C139" s="16" t="s">
        <v>326</v>
      </c>
      <c r="D139" s="16" t="s">
        <v>312</v>
      </c>
      <c r="E139" s="54">
        <v>2</v>
      </c>
      <c r="F139" s="54">
        <v>0</v>
      </c>
      <c r="G139" s="54">
        <v>0</v>
      </c>
      <c r="H139" s="54">
        <v>2</v>
      </c>
      <c r="I139" s="54">
        <v>0</v>
      </c>
      <c r="J139" s="54">
        <v>0</v>
      </c>
      <c r="K139" s="54">
        <v>2</v>
      </c>
      <c r="L139" s="54">
        <v>0</v>
      </c>
      <c r="M139" s="54">
        <v>0</v>
      </c>
      <c r="N139" s="55">
        <f t="shared" si="28"/>
        <v>2</v>
      </c>
      <c r="O139" s="55">
        <f t="shared" si="29"/>
        <v>0</v>
      </c>
      <c r="P139" s="55">
        <f t="shared" si="30"/>
        <v>0</v>
      </c>
      <c r="Q139" s="56" t="s">
        <v>177</v>
      </c>
      <c r="R139" s="57" t="s">
        <v>110</v>
      </c>
      <c r="S139" s="1"/>
      <c r="T139" s="1"/>
      <c r="U139" s="1"/>
      <c r="V139" s="1"/>
      <c r="W139" s="1"/>
      <c r="X139" s="1"/>
      <c r="Y139" s="1"/>
      <c r="Z139" s="1"/>
    </row>
    <row r="140" spans="1:26" ht="32.25" customHeight="1" x14ac:dyDescent="0.3">
      <c r="A140" s="16" t="s">
        <v>394</v>
      </c>
      <c r="B140" s="16" t="s">
        <v>415</v>
      </c>
      <c r="C140" s="16" t="s">
        <v>328</v>
      </c>
      <c r="D140" s="16" t="s">
        <v>315</v>
      </c>
      <c r="E140" s="82">
        <v>11300000</v>
      </c>
      <c r="F140" s="82">
        <v>0</v>
      </c>
      <c r="G140" s="82">
        <v>0</v>
      </c>
      <c r="H140" s="82">
        <v>11300000</v>
      </c>
      <c r="I140" s="82">
        <v>0</v>
      </c>
      <c r="J140" s="82">
        <v>0</v>
      </c>
      <c r="K140" s="82">
        <v>11300000</v>
      </c>
      <c r="L140" s="82">
        <v>0</v>
      </c>
      <c r="M140" s="82">
        <v>0</v>
      </c>
      <c r="N140" s="80">
        <f t="shared" si="28"/>
        <v>11300000</v>
      </c>
      <c r="O140" s="80">
        <f t="shared" si="29"/>
        <v>0</v>
      </c>
      <c r="P140" s="80">
        <f t="shared" si="30"/>
        <v>0</v>
      </c>
      <c r="Q140" s="92" t="s">
        <v>416</v>
      </c>
      <c r="R140" s="57" t="s">
        <v>110</v>
      </c>
      <c r="S140" s="1"/>
      <c r="T140" s="1"/>
      <c r="U140" s="1"/>
      <c r="V140" s="1"/>
      <c r="W140" s="1"/>
      <c r="X140" s="1"/>
      <c r="Y140" s="1"/>
      <c r="Z140" s="1"/>
    </row>
    <row r="141" spans="1:26" ht="32.25" customHeight="1" x14ac:dyDescent="0.3">
      <c r="A141" s="16" t="s">
        <v>394</v>
      </c>
      <c r="B141" s="16" t="s">
        <v>417</v>
      </c>
      <c r="C141" s="16" t="s">
        <v>418</v>
      </c>
      <c r="D141" s="16" t="s">
        <v>312</v>
      </c>
      <c r="E141" s="54">
        <v>6</v>
      </c>
      <c r="F141" s="54">
        <v>0</v>
      </c>
      <c r="G141" s="54">
        <v>0</v>
      </c>
      <c r="H141" s="54">
        <v>6</v>
      </c>
      <c r="I141" s="54">
        <v>0</v>
      </c>
      <c r="J141" s="54">
        <v>0</v>
      </c>
      <c r="K141" s="54">
        <v>6</v>
      </c>
      <c r="L141" s="54">
        <v>0</v>
      </c>
      <c r="M141" s="54">
        <v>0</v>
      </c>
      <c r="N141" s="55">
        <f t="shared" si="28"/>
        <v>6</v>
      </c>
      <c r="O141" s="55">
        <f t="shared" si="29"/>
        <v>0</v>
      </c>
      <c r="P141" s="55">
        <f t="shared" si="30"/>
        <v>0</v>
      </c>
      <c r="Q141" s="56" t="s">
        <v>177</v>
      </c>
      <c r="R141" s="57" t="s">
        <v>187</v>
      </c>
      <c r="S141" s="1"/>
      <c r="T141" s="1"/>
      <c r="U141" s="1"/>
      <c r="V141" s="1"/>
      <c r="W141" s="1"/>
      <c r="X141" s="1"/>
      <c r="Y141" s="1"/>
      <c r="Z141" s="1"/>
    </row>
    <row r="142" spans="1:26" ht="32.25" customHeight="1" x14ac:dyDescent="0.3">
      <c r="A142" s="16" t="s">
        <v>394</v>
      </c>
      <c r="B142" s="16" t="s">
        <v>419</v>
      </c>
      <c r="C142" s="16" t="s">
        <v>420</v>
      </c>
      <c r="D142" s="16" t="s">
        <v>315</v>
      </c>
      <c r="E142" s="82">
        <v>36000000</v>
      </c>
      <c r="F142" s="82">
        <v>0</v>
      </c>
      <c r="G142" s="82">
        <v>0</v>
      </c>
      <c r="H142" s="82">
        <v>36000000</v>
      </c>
      <c r="I142" s="82">
        <v>0</v>
      </c>
      <c r="J142" s="82">
        <v>0</v>
      </c>
      <c r="K142" s="82">
        <v>36000000</v>
      </c>
      <c r="L142" s="82">
        <v>0</v>
      </c>
      <c r="M142" s="82">
        <v>0</v>
      </c>
      <c r="N142" s="80">
        <f t="shared" si="28"/>
        <v>36000000</v>
      </c>
      <c r="O142" s="80">
        <f t="shared" si="29"/>
        <v>0</v>
      </c>
      <c r="P142" s="80">
        <f t="shared" si="30"/>
        <v>0</v>
      </c>
      <c r="Q142" s="56" t="s">
        <v>413</v>
      </c>
      <c r="R142" s="57" t="s">
        <v>187</v>
      </c>
      <c r="S142" s="1"/>
      <c r="T142" s="1"/>
      <c r="U142" s="1"/>
      <c r="V142" s="1"/>
      <c r="W142" s="1"/>
      <c r="X142" s="1"/>
      <c r="Y142" s="1"/>
      <c r="Z142" s="1"/>
    </row>
    <row r="143" spans="1:26" ht="19.5" customHeight="1" x14ac:dyDescent="0.3">
      <c r="A143" s="93" t="s">
        <v>421</v>
      </c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5"/>
      <c r="S143" s="1"/>
      <c r="T143" s="1"/>
      <c r="U143" s="1"/>
      <c r="V143" s="1"/>
      <c r="W143" s="1"/>
      <c r="X143" s="1"/>
      <c r="Y143" s="1"/>
      <c r="Z143" s="1"/>
    </row>
    <row r="144" spans="1:26" ht="17.25" customHeight="1" x14ac:dyDescent="0.3">
      <c r="A144" s="16" t="s">
        <v>422</v>
      </c>
      <c r="B144" s="16" t="s">
        <v>423</v>
      </c>
      <c r="C144" s="16" t="s">
        <v>424</v>
      </c>
      <c r="D144" s="16" t="s">
        <v>425</v>
      </c>
      <c r="E144" s="96">
        <v>0.8</v>
      </c>
      <c r="F144" s="96">
        <v>0.8</v>
      </c>
      <c r="G144" s="96">
        <v>0.8</v>
      </c>
      <c r="H144" s="96">
        <v>0.8</v>
      </c>
      <c r="I144" s="96">
        <v>0.8</v>
      </c>
      <c r="J144" s="96">
        <v>0.8</v>
      </c>
      <c r="K144" s="96">
        <v>0.8</v>
      </c>
      <c r="L144" s="96">
        <v>0.8</v>
      </c>
      <c r="M144" s="96">
        <v>0.8</v>
      </c>
      <c r="N144" s="97">
        <f t="shared" ref="N144:P148" si="31">IF($B$2="Thận trọng",E144,IF($B$2="Cơ sở",H144,K144))</f>
        <v>0.8</v>
      </c>
      <c r="O144" s="97">
        <f t="shared" si="31"/>
        <v>0.8</v>
      </c>
      <c r="P144" s="97">
        <f t="shared" si="31"/>
        <v>0.8</v>
      </c>
      <c r="Q144" s="56" t="s">
        <v>105</v>
      </c>
      <c r="R144" s="57" t="s">
        <v>105</v>
      </c>
      <c r="S144" s="1"/>
      <c r="T144" s="1"/>
      <c r="U144" s="1"/>
      <c r="V144" s="1"/>
      <c r="W144" s="1"/>
      <c r="X144" s="1"/>
      <c r="Y144" s="1"/>
      <c r="Z144" s="1"/>
    </row>
    <row r="145" spans="1:26" ht="17.25" customHeight="1" x14ac:dyDescent="0.3">
      <c r="A145" s="16" t="s">
        <v>422</v>
      </c>
      <c r="B145" s="16" t="s">
        <v>426</v>
      </c>
      <c r="C145" s="16" t="s">
        <v>427</v>
      </c>
      <c r="D145" s="16" t="s">
        <v>425</v>
      </c>
      <c r="E145" s="96">
        <v>0.9</v>
      </c>
      <c r="F145" s="96">
        <v>0.9</v>
      </c>
      <c r="G145" s="96">
        <v>0.9</v>
      </c>
      <c r="H145" s="96">
        <v>0.9</v>
      </c>
      <c r="I145" s="96">
        <v>0.9</v>
      </c>
      <c r="J145" s="96">
        <v>0.9</v>
      </c>
      <c r="K145" s="96">
        <v>0.9</v>
      </c>
      <c r="L145" s="96">
        <v>0.9</v>
      </c>
      <c r="M145" s="96">
        <v>0.9</v>
      </c>
      <c r="N145" s="97">
        <f t="shared" si="31"/>
        <v>0.9</v>
      </c>
      <c r="O145" s="97">
        <f t="shared" si="31"/>
        <v>0.9</v>
      </c>
      <c r="P145" s="97">
        <f t="shared" si="31"/>
        <v>0.9</v>
      </c>
      <c r="Q145" s="56" t="s">
        <v>105</v>
      </c>
      <c r="R145" s="57" t="s">
        <v>105</v>
      </c>
      <c r="S145" s="1"/>
      <c r="T145" s="1"/>
      <c r="U145" s="1"/>
      <c r="V145" s="1"/>
      <c r="W145" s="1"/>
      <c r="X145" s="1"/>
      <c r="Y145" s="1"/>
      <c r="Z145" s="1"/>
    </row>
    <row r="146" spans="1:26" ht="17.25" customHeight="1" x14ac:dyDescent="0.3">
      <c r="A146" s="16" t="s">
        <v>422</v>
      </c>
      <c r="B146" s="16" t="s">
        <v>428</v>
      </c>
      <c r="C146" s="16" t="s">
        <v>429</v>
      </c>
      <c r="D146" s="16" t="s">
        <v>425</v>
      </c>
      <c r="E146" s="96">
        <v>1</v>
      </c>
      <c r="F146" s="96">
        <v>1</v>
      </c>
      <c r="G146" s="96">
        <v>1</v>
      </c>
      <c r="H146" s="96">
        <v>1</v>
      </c>
      <c r="I146" s="96">
        <v>1</v>
      </c>
      <c r="J146" s="96">
        <v>1</v>
      </c>
      <c r="K146" s="96">
        <v>1</v>
      </c>
      <c r="L146" s="96">
        <v>1</v>
      </c>
      <c r="M146" s="96">
        <v>1</v>
      </c>
      <c r="N146" s="97">
        <f t="shared" si="31"/>
        <v>1</v>
      </c>
      <c r="O146" s="97">
        <f t="shared" si="31"/>
        <v>1</v>
      </c>
      <c r="P146" s="97">
        <f t="shared" si="31"/>
        <v>1</v>
      </c>
      <c r="Q146" s="56" t="s">
        <v>105</v>
      </c>
      <c r="R146" s="57" t="s">
        <v>105</v>
      </c>
      <c r="S146" s="1"/>
      <c r="T146" s="1"/>
      <c r="U146" s="1"/>
      <c r="V146" s="1"/>
      <c r="W146" s="1"/>
      <c r="X146" s="1"/>
      <c r="Y146" s="1"/>
      <c r="Z146" s="1"/>
    </row>
    <row r="147" spans="1:26" ht="17.25" customHeight="1" x14ac:dyDescent="0.3">
      <c r="A147" s="16" t="s">
        <v>422</v>
      </c>
      <c r="B147" s="16" t="s">
        <v>430</v>
      </c>
      <c r="C147" s="16" t="s">
        <v>431</v>
      </c>
      <c r="D147" s="16" t="s">
        <v>425</v>
      </c>
      <c r="E147" s="96">
        <v>1.1000000000000001</v>
      </c>
      <c r="F147" s="96">
        <v>1.1000000000000001</v>
      </c>
      <c r="G147" s="96">
        <v>1.1000000000000001</v>
      </c>
      <c r="H147" s="96">
        <v>1.1000000000000001</v>
      </c>
      <c r="I147" s="96">
        <v>1.1000000000000001</v>
      </c>
      <c r="J147" s="96">
        <v>1.1000000000000001</v>
      </c>
      <c r="K147" s="96">
        <v>1.1000000000000001</v>
      </c>
      <c r="L147" s="96">
        <v>1.1000000000000001</v>
      </c>
      <c r="M147" s="96">
        <v>1.1000000000000001</v>
      </c>
      <c r="N147" s="97">
        <f t="shared" si="31"/>
        <v>1.1000000000000001</v>
      </c>
      <c r="O147" s="97">
        <f t="shared" si="31"/>
        <v>1.1000000000000001</v>
      </c>
      <c r="P147" s="97">
        <f t="shared" si="31"/>
        <v>1.1000000000000001</v>
      </c>
      <c r="Q147" s="56" t="s">
        <v>105</v>
      </c>
      <c r="R147" s="57" t="s">
        <v>105</v>
      </c>
      <c r="S147" s="1"/>
      <c r="T147" s="1"/>
      <c r="U147" s="1"/>
      <c r="V147" s="1"/>
      <c r="W147" s="1"/>
      <c r="X147" s="1"/>
      <c r="Y147" s="1"/>
      <c r="Z147" s="1"/>
    </row>
    <row r="148" spans="1:26" ht="17.25" customHeight="1" x14ac:dyDescent="0.3">
      <c r="A148" s="16" t="s">
        <v>422</v>
      </c>
      <c r="B148" s="16" t="s">
        <v>432</v>
      </c>
      <c r="C148" s="16" t="s">
        <v>433</v>
      </c>
      <c r="D148" s="16" t="s">
        <v>425</v>
      </c>
      <c r="E148" s="96">
        <v>1.2</v>
      </c>
      <c r="F148" s="96">
        <v>1.2</v>
      </c>
      <c r="G148" s="96">
        <v>1.2</v>
      </c>
      <c r="H148" s="96">
        <v>1.2</v>
      </c>
      <c r="I148" s="96">
        <v>1.2</v>
      </c>
      <c r="J148" s="96">
        <v>1.2</v>
      </c>
      <c r="K148" s="96">
        <v>1.2</v>
      </c>
      <c r="L148" s="96">
        <v>1.2</v>
      </c>
      <c r="M148" s="96">
        <v>1.2</v>
      </c>
      <c r="N148" s="97">
        <f t="shared" si="31"/>
        <v>1.2</v>
      </c>
      <c r="O148" s="97">
        <f t="shared" si="31"/>
        <v>1.2</v>
      </c>
      <c r="P148" s="97">
        <f t="shared" si="31"/>
        <v>1.2</v>
      </c>
      <c r="Q148" s="56" t="s">
        <v>105</v>
      </c>
      <c r="R148" s="57" t="s">
        <v>105</v>
      </c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1"/>
      <c r="B149" s="1"/>
      <c r="C149" s="1"/>
      <c r="D149" s="1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3">
      <c r="A150" s="1"/>
      <c r="B150" s="1"/>
      <c r="C150" s="1"/>
      <c r="D150" s="1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3">
      <c r="A151" s="1"/>
      <c r="B151" s="1"/>
      <c r="C151" s="1"/>
      <c r="D151" s="1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1"/>
      <c r="B152" s="1"/>
      <c r="C152" s="1"/>
      <c r="D152" s="1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1"/>
      <c r="B153" s="1"/>
      <c r="C153" s="1"/>
      <c r="D153" s="1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1"/>
      <c r="B154" s="1"/>
      <c r="C154" s="1"/>
      <c r="D154" s="1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3">
      <c r="A155" s="1"/>
      <c r="B155" s="1"/>
      <c r="C155" s="1"/>
      <c r="D155" s="1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3">
      <c r="A156" s="1"/>
      <c r="B156" s="1"/>
      <c r="C156" s="1"/>
      <c r="D156" s="1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3">
      <c r="A157" s="1"/>
      <c r="B157" s="1"/>
      <c r="C157" s="1"/>
      <c r="D157" s="1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3">
      <c r="A158" s="1"/>
      <c r="B158" s="1"/>
      <c r="C158" s="1"/>
      <c r="D158" s="1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1"/>
      <c r="B159" s="1"/>
      <c r="C159" s="1"/>
      <c r="D159" s="1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3">
      <c r="A160" s="1"/>
      <c r="B160" s="1"/>
      <c r="C160" s="1"/>
      <c r="D160" s="1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3">
      <c r="A161" s="1"/>
      <c r="B161" s="1"/>
      <c r="C161" s="1"/>
      <c r="D161" s="1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1"/>
      <c r="B162" s="1"/>
      <c r="C162" s="1"/>
      <c r="D162" s="1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3">
      <c r="A163" s="1"/>
      <c r="B163" s="1"/>
      <c r="C163" s="1"/>
      <c r="D163" s="1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3">
      <c r="A164" s="1"/>
      <c r="B164" s="1"/>
      <c r="C164" s="1"/>
      <c r="D164" s="1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1"/>
      <c r="B165" s="1"/>
      <c r="C165" s="1"/>
      <c r="D165" s="1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3">
      <c r="A166" s="1"/>
      <c r="B166" s="1"/>
      <c r="C166" s="1"/>
      <c r="D166" s="1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3">
      <c r="A167" s="1"/>
      <c r="B167" s="1"/>
      <c r="C167" s="1"/>
      <c r="D167" s="1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3">
      <c r="A168" s="1"/>
      <c r="B168" s="1"/>
      <c r="C168" s="1"/>
      <c r="D168" s="1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3">
      <c r="A169" s="1"/>
      <c r="B169" s="1"/>
      <c r="C169" s="1"/>
      <c r="D169" s="1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3">
      <c r="A170" s="1"/>
      <c r="B170" s="1"/>
      <c r="C170" s="1"/>
      <c r="D170" s="1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3">
      <c r="A171" s="1"/>
      <c r="B171" s="1"/>
      <c r="C171" s="1"/>
      <c r="D171" s="1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3">
      <c r="A172" s="1"/>
      <c r="B172" s="1"/>
      <c r="C172" s="1"/>
      <c r="D172" s="1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3">
      <c r="A173" s="1"/>
      <c r="B173" s="1"/>
      <c r="C173" s="1"/>
      <c r="D173" s="1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3">
      <c r="A174" s="1"/>
      <c r="B174" s="1"/>
      <c r="C174" s="1"/>
      <c r="D174" s="1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3">
      <c r="A175" s="1"/>
      <c r="B175" s="1"/>
      <c r="C175" s="1"/>
      <c r="D175" s="1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3">
      <c r="A176" s="1"/>
      <c r="B176" s="1"/>
      <c r="C176" s="1"/>
      <c r="D176" s="1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3">
      <c r="A177" s="1"/>
      <c r="B177" s="1"/>
      <c r="C177" s="1"/>
      <c r="D177" s="1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3">
      <c r="A178" s="1"/>
      <c r="B178" s="1"/>
      <c r="C178" s="1"/>
      <c r="D178" s="1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3">
      <c r="A179" s="1"/>
      <c r="B179" s="1"/>
      <c r="C179" s="1"/>
      <c r="D179" s="1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1"/>
      <c r="B180" s="1"/>
      <c r="C180" s="1"/>
      <c r="D180" s="1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3">
      <c r="A181" s="1"/>
      <c r="B181" s="1"/>
      <c r="C181" s="1"/>
      <c r="D181" s="1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3">
      <c r="A182" s="1"/>
      <c r="B182" s="1"/>
      <c r="C182" s="1"/>
      <c r="D182" s="1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3">
      <c r="A183" s="1"/>
      <c r="B183" s="1"/>
      <c r="C183" s="1"/>
      <c r="D183" s="1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3">
      <c r="A184" s="1"/>
      <c r="B184" s="1"/>
      <c r="C184" s="1"/>
      <c r="D184" s="1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3">
      <c r="A185" s="1"/>
      <c r="B185" s="1"/>
      <c r="C185" s="1"/>
      <c r="D185" s="1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3">
      <c r="A186" s="1"/>
      <c r="B186" s="1"/>
      <c r="C186" s="1"/>
      <c r="D186" s="1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3">
      <c r="A187" s="1"/>
      <c r="B187" s="1"/>
      <c r="C187" s="1"/>
      <c r="D187" s="1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1"/>
      <c r="B188" s="1"/>
      <c r="C188" s="1"/>
      <c r="D188" s="1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">
      <c r="A189" s="1"/>
      <c r="B189" s="1"/>
      <c r="C189" s="1"/>
      <c r="D189" s="1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3">
      <c r="A190" s="1"/>
      <c r="B190" s="1"/>
      <c r="C190" s="1"/>
      <c r="D190" s="1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3">
      <c r="A191" s="1"/>
      <c r="B191" s="1"/>
      <c r="C191" s="1"/>
      <c r="D191" s="1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">
      <c r="A192" s="1"/>
      <c r="B192" s="1"/>
      <c r="C192" s="1"/>
      <c r="D192" s="1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3">
      <c r="A193" s="1"/>
      <c r="B193" s="1"/>
      <c r="C193" s="1"/>
      <c r="D193" s="1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3">
      <c r="A194" s="1"/>
      <c r="B194" s="1"/>
      <c r="C194" s="1"/>
      <c r="D194" s="1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3">
      <c r="A195" s="1"/>
      <c r="B195" s="1"/>
      <c r="C195" s="1"/>
      <c r="D195" s="1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3">
      <c r="A196" s="1"/>
      <c r="B196" s="1"/>
      <c r="C196" s="1"/>
      <c r="D196" s="1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3">
      <c r="A197" s="1"/>
      <c r="B197" s="1"/>
      <c r="C197" s="1"/>
      <c r="D197" s="1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3">
      <c r="A198" s="1"/>
      <c r="B198" s="1"/>
      <c r="C198" s="1"/>
      <c r="D198" s="1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3">
      <c r="A199" s="1"/>
      <c r="B199" s="1"/>
      <c r="C199" s="1"/>
      <c r="D199" s="1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3">
      <c r="A200" s="1"/>
      <c r="B200" s="1"/>
      <c r="C200" s="1"/>
      <c r="D200" s="1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3">
      <c r="A201" s="1"/>
      <c r="B201" s="1"/>
      <c r="C201" s="1"/>
      <c r="D201" s="1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3">
      <c r="A202" s="1"/>
      <c r="B202" s="1"/>
      <c r="C202" s="1"/>
      <c r="D202" s="1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">
      <c r="A203" s="1"/>
      <c r="B203" s="1"/>
      <c r="C203" s="1"/>
      <c r="D203" s="1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">
      <c r="A204" s="1"/>
      <c r="B204" s="1"/>
      <c r="C204" s="1"/>
      <c r="D204" s="1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1"/>
      <c r="B205" s="1"/>
      <c r="C205" s="1"/>
      <c r="D205" s="1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">
      <c r="A206" s="1"/>
      <c r="B206" s="1"/>
      <c r="C206" s="1"/>
      <c r="D206" s="1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3">
      <c r="A207" s="1"/>
      <c r="B207" s="1"/>
      <c r="C207" s="1"/>
      <c r="D207" s="1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">
      <c r="A208" s="1"/>
      <c r="B208" s="1"/>
      <c r="C208" s="1"/>
      <c r="D208" s="1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1"/>
      <c r="B209" s="1"/>
      <c r="C209" s="1"/>
      <c r="D209" s="1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">
      <c r="A210" s="1"/>
      <c r="B210" s="1"/>
      <c r="C210" s="1"/>
      <c r="D210" s="1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">
      <c r="A211" s="1"/>
      <c r="B211" s="1"/>
      <c r="C211" s="1"/>
      <c r="D211" s="1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">
      <c r="A212" s="1"/>
      <c r="B212" s="1"/>
      <c r="C212" s="1"/>
      <c r="D212" s="1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">
      <c r="A213" s="1"/>
      <c r="B213" s="1"/>
      <c r="C213" s="1"/>
      <c r="D213" s="1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">
      <c r="A214" s="1"/>
      <c r="B214" s="1"/>
      <c r="C214" s="1"/>
      <c r="D214" s="1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">
      <c r="A215" s="1"/>
      <c r="B215" s="1"/>
      <c r="C215" s="1"/>
      <c r="D215" s="1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">
      <c r="A216" s="1"/>
      <c r="B216" s="1"/>
      <c r="C216" s="1"/>
      <c r="D216" s="1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">
      <c r="A217" s="1"/>
      <c r="B217" s="1"/>
      <c r="C217" s="1"/>
      <c r="D217" s="1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">
      <c r="A218" s="1"/>
      <c r="B218" s="1"/>
      <c r="C218" s="1"/>
      <c r="D218" s="1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">
      <c r="A219" s="1"/>
      <c r="B219" s="1"/>
      <c r="C219" s="1"/>
      <c r="D219" s="1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">
      <c r="A220" s="1"/>
      <c r="B220" s="1"/>
      <c r="C220" s="1"/>
      <c r="D220" s="1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3">
      <c r="A221" s="1"/>
      <c r="B221" s="1"/>
      <c r="C221" s="1"/>
      <c r="D221" s="1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3">
      <c r="A222" s="1"/>
      <c r="B222" s="1"/>
      <c r="C222" s="1"/>
      <c r="D222" s="1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3">
      <c r="A223" s="1"/>
      <c r="B223" s="1"/>
      <c r="C223" s="1"/>
      <c r="D223" s="1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1"/>
      <c r="B224" s="1"/>
      <c r="C224" s="1"/>
      <c r="D224" s="1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3">
      <c r="A225" s="1"/>
      <c r="B225" s="1"/>
      <c r="C225" s="1"/>
      <c r="D225" s="1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3">
      <c r="A226" s="1"/>
      <c r="B226" s="1"/>
      <c r="C226" s="1"/>
      <c r="D226" s="1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3">
      <c r="A227" s="1"/>
      <c r="B227" s="1"/>
      <c r="C227" s="1"/>
      <c r="D227" s="1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3">
      <c r="A228" s="1"/>
      <c r="B228" s="1"/>
      <c r="C228" s="1"/>
      <c r="D228" s="1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3">
      <c r="A229" s="1"/>
      <c r="B229" s="1"/>
      <c r="C229" s="1"/>
      <c r="D229" s="1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3">
      <c r="A230" s="1"/>
      <c r="B230" s="1"/>
      <c r="C230" s="1"/>
      <c r="D230" s="1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3">
      <c r="A231" s="1"/>
      <c r="B231" s="1"/>
      <c r="C231" s="1"/>
      <c r="D231" s="1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3">
      <c r="A232" s="1"/>
      <c r="B232" s="1"/>
      <c r="C232" s="1"/>
      <c r="D232" s="1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3">
      <c r="A233" s="1"/>
      <c r="B233" s="1"/>
      <c r="C233" s="1"/>
      <c r="D233" s="1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3">
      <c r="A234" s="1"/>
      <c r="B234" s="1"/>
      <c r="C234" s="1"/>
      <c r="D234" s="1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3">
      <c r="A235" s="1"/>
      <c r="B235" s="1"/>
      <c r="C235" s="1"/>
      <c r="D235" s="1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3">
      <c r="A236" s="1"/>
      <c r="B236" s="1"/>
      <c r="C236" s="1"/>
      <c r="D236" s="1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3">
      <c r="A237" s="1"/>
      <c r="B237" s="1"/>
      <c r="C237" s="1"/>
      <c r="D237" s="1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3">
      <c r="A238" s="1"/>
      <c r="B238" s="1"/>
      <c r="C238" s="1"/>
      <c r="D238" s="1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">
      <c r="A239" s="1"/>
      <c r="B239" s="1"/>
      <c r="C239" s="1"/>
      <c r="D239" s="1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">
      <c r="A240" s="1"/>
      <c r="B240" s="1"/>
      <c r="C240" s="1"/>
      <c r="D240" s="1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3">
      <c r="A241" s="1"/>
      <c r="B241" s="1"/>
      <c r="C241" s="1"/>
      <c r="D241" s="1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">
      <c r="A242" s="1"/>
      <c r="B242" s="1"/>
      <c r="C242" s="1"/>
      <c r="D242" s="1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">
      <c r="A243" s="1"/>
      <c r="B243" s="1"/>
      <c r="C243" s="1"/>
      <c r="D243" s="1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A244" s="1"/>
      <c r="B244" s="1"/>
      <c r="C244" s="1"/>
      <c r="D244" s="1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A245" s="1"/>
      <c r="B245" s="1"/>
      <c r="C245" s="1"/>
      <c r="D245" s="1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A246" s="1"/>
      <c r="B246" s="1"/>
      <c r="C246" s="1"/>
      <c r="D246" s="1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">
      <c r="A247" s="1"/>
      <c r="B247" s="1"/>
      <c r="C247" s="1"/>
      <c r="D247" s="1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">
      <c r="A248" s="1"/>
      <c r="B248" s="1"/>
      <c r="C248" s="1"/>
      <c r="D248" s="1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A249" s="1"/>
      <c r="B249" s="1"/>
      <c r="C249" s="1"/>
      <c r="D249" s="1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1"/>
      <c r="B250" s="1"/>
      <c r="C250" s="1"/>
      <c r="D250" s="1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1"/>
      <c r="B251" s="1"/>
      <c r="C251" s="1"/>
      <c r="D251" s="1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A252" s="1"/>
      <c r="B252" s="1"/>
      <c r="C252" s="1"/>
      <c r="D252" s="1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A253" s="1"/>
      <c r="B253" s="1"/>
      <c r="C253" s="1"/>
      <c r="D253" s="1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A254" s="1"/>
      <c r="B254" s="1"/>
      <c r="C254" s="1"/>
      <c r="D254" s="1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A255" s="1"/>
      <c r="B255" s="1"/>
      <c r="C255" s="1"/>
      <c r="D255" s="1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1"/>
      <c r="B256" s="1"/>
      <c r="C256" s="1"/>
      <c r="D256" s="1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1"/>
      <c r="B257" s="1"/>
      <c r="C257" s="1"/>
      <c r="D257" s="1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B258" s="1"/>
      <c r="C258" s="1"/>
      <c r="D258" s="1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B259" s="1"/>
      <c r="C259" s="1"/>
      <c r="D259" s="1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B260" s="1"/>
      <c r="C260" s="1"/>
      <c r="D260" s="1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B261" s="1"/>
      <c r="C261" s="1"/>
      <c r="D261" s="1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B262" s="1"/>
      <c r="C262" s="1"/>
      <c r="D262" s="1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B263" s="1"/>
      <c r="C263" s="1"/>
      <c r="D263" s="1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B264" s="1"/>
      <c r="C264" s="1"/>
      <c r="D264" s="1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B265" s="1"/>
      <c r="C265" s="1"/>
      <c r="D265" s="1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B266" s="1"/>
      <c r="C266" s="1"/>
      <c r="D266" s="1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B267" s="1"/>
      <c r="C267" s="1"/>
      <c r="D267" s="1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B268" s="1"/>
      <c r="C268" s="1"/>
      <c r="D268" s="1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B269" s="1"/>
      <c r="C269" s="1"/>
      <c r="D269" s="1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B270" s="1"/>
      <c r="C270" s="1"/>
      <c r="D270" s="1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B271" s="1"/>
      <c r="C271" s="1"/>
      <c r="D271" s="1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B272" s="1"/>
      <c r="C272" s="1"/>
      <c r="D272" s="1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B273" s="1"/>
      <c r="C273" s="1"/>
      <c r="D273" s="1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B274" s="1"/>
      <c r="C274" s="1"/>
      <c r="D274" s="1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B275" s="1"/>
      <c r="C275" s="1"/>
      <c r="D275" s="1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B276" s="1"/>
      <c r="C276" s="1"/>
      <c r="D276" s="1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B277" s="1"/>
      <c r="C277" s="1"/>
      <c r="D277" s="1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B278" s="1"/>
      <c r="C278" s="1"/>
      <c r="D278" s="1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B279" s="1"/>
      <c r="C279" s="1"/>
      <c r="D279" s="1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B280" s="1"/>
      <c r="C280" s="1"/>
      <c r="D280" s="1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B281" s="1"/>
      <c r="C281" s="1"/>
      <c r="D281" s="1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B282" s="1"/>
      <c r="C282" s="1"/>
      <c r="D282" s="1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B283" s="1"/>
      <c r="C283" s="1"/>
      <c r="D283" s="1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B284" s="1"/>
      <c r="C284" s="1"/>
      <c r="D284" s="1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B285" s="1"/>
      <c r="C285" s="1"/>
      <c r="D285" s="1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B286" s="1"/>
      <c r="C286" s="1"/>
      <c r="D286" s="1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B287" s="1"/>
      <c r="C287" s="1"/>
      <c r="D287" s="1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B288" s="1"/>
      <c r="C288" s="1"/>
      <c r="D288" s="1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B289" s="1"/>
      <c r="C289" s="1"/>
      <c r="D289" s="1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B290" s="1"/>
      <c r="C290" s="1"/>
      <c r="D290" s="1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B291" s="1"/>
      <c r="C291" s="1"/>
      <c r="D291" s="1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B292" s="1"/>
      <c r="C292" s="1"/>
      <c r="D292" s="1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B293" s="1"/>
      <c r="C293" s="1"/>
      <c r="D293" s="1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B294" s="1"/>
      <c r="C294" s="1"/>
      <c r="D294" s="1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B295" s="1"/>
      <c r="C295" s="1"/>
      <c r="D295" s="1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B296" s="1"/>
      <c r="C296" s="1"/>
      <c r="D296" s="1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B297" s="1"/>
      <c r="C297" s="1"/>
      <c r="D297" s="1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B298" s="1"/>
      <c r="C298" s="1"/>
      <c r="D298" s="1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B299" s="1"/>
      <c r="C299" s="1"/>
      <c r="D299" s="1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B300" s="1"/>
      <c r="C300" s="1"/>
      <c r="D300" s="1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B301" s="1"/>
      <c r="C301" s="1"/>
      <c r="D301" s="1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B302" s="1"/>
      <c r="C302" s="1"/>
      <c r="D302" s="1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B303" s="1"/>
      <c r="C303" s="1"/>
      <c r="D303" s="1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B304" s="1"/>
      <c r="C304" s="1"/>
      <c r="D304" s="1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B305" s="1"/>
      <c r="C305" s="1"/>
      <c r="D305" s="1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B306" s="1"/>
      <c r="C306" s="1"/>
      <c r="D306" s="1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B307" s="1"/>
      <c r="C307" s="1"/>
      <c r="D307" s="1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B308" s="1"/>
      <c r="C308" s="1"/>
      <c r="D308" s="1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B309" s="1"/>
      <c r="C309" s="1"/>
      <c r="D309" s="1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B310" s="1"/>
      <c r="C310" s="1"/>
      <c r="D310" s="1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B311" s="1"/>
      <c r="C311" s="1"/>
      <c r="D311" s="1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B312" s="1"/>
      <c r="C312" s="1"/>
      <c r="D312" s="1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B313" s="1"/>
      <c r="C313" s="1"/>
      <c r="D313" s="1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B314" s="1"/>
      <c r="C314" s="1"/>
      <c r="D314" s="1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B315" s="1"/>
      <c r="C315" s="1"/>
      <c r="D315" s="1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B316" s="1"/>
      <c r="C316" s="1"/>
      <c r="D316" s="1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B317" s="1"/>
      <c r="C317" s="1"/>
      <c r="D317" s="1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B318" s="1"/>
      <c r="C318" s="1"/>
      <c r="D318" s="1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B319" s="1"/>
      <c r="C319" s="1"/>
      <c r="D319" s="1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B320" s="1"/>
      <c r="C320" s="1"/>
      <c r="D320" s="1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B321" s="1"/>
      <c r="C321" s="1"/>
      <c r="D321" s="1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B322" s="1"/>
      <c r="C322" s="1"/>
      <c r="D322" s="1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B323" s="1"/>
      <c r="C323" s="1"/>
      <c r="D323" s="1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B324" s="1"/>
      <c r="C324" s="1"/>
      <c r="D324" s="1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B325" s="1"/>
      <c r="C325" s="1"/>
      <c r="D325" s="1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B326" s="1"/>
      <c r="C326" s="1"/>
      <c r="D326" s="1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B327" s="1"/>
      <c r="C327" s="1"/>
      <c r="D327" s="1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B328" s="1"/>
      <c r="C328" s="1"/>
      <c r="D328" s="1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B329" s="1"/>
      <c r="C329" s="1"/>
      <c r="D329" s="1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B330" s="1"/>
      <c r="C330" s="1"/>
      <c r="D330" s="1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B331" s="1"/>
      <c r="C331" s="1"/>
      <c r="D331" s="1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B332" s="1"/>
      <c r="C332" s="1"/>
      <c r="D332" s="1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B333" s="1"/>
      <c r="C333" s="1"/>
      <c r="D333" s="1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B334" s="1"/>
      <c r="C334" s="1"/>
      <c r="D334" s="1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B335" s="1"/>
      <c r="C335" s="1"/>
      <c r="D335" s="1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B336" s="1"/>
      <c r="C336" s="1"/>
      <c r="D336" s="1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B337" s="1"/>
      <c r="C337" s="1"/>
      <c r="D337" s="1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B338" s="1"/>
      <c r="C338" s="1"/>
      <c r="D338" s="1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B339" s="1"/>
      <c r="C339" s="1"/>
      <c r="D339" s="1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B340" s="1"/>
      <c r="C340" s="1"/>
      <c r="D340" s="1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B341" s="1"/>
      <c r="C341" s="1"/>
      <c r="D341" s="1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B342" s="1"/>
      <c r="C342" s="1"/>
      <c r="D342" s="1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B343" s="1"/>
      <c r="C343" s="1"/>
      <c r="D343" s="1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B344" s="1"/>
      <c r="C344" s="1"/>
      <c r="D344" s="1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B345" s="1"/>
      <c r="C345" s="1"/>
      <c r="D345" s="1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B346" s="1"/>
      <c r="C346" s="1"/>
      <c r="D346" s="1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B347" s="1"/>
      <c r="C347" s="1"/>
      <c r="D347" s="1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B348" s="1"/>
      <c r="C348" s="1"/>
      <c r="D348" s="1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B349" s="1"/>
      <c r="C349" s="1"/>
      <c r="D349" s="1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B350" s="1"/>
      <c r="C350" s="1"/>
      <c r="D350" s="1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B351" s="1"/>
      <c r="C351" s="1"/>
      <c r="D351" s="1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B352" s="1"/>
      <c r="C352" s="1"/>
      <c r="D352" s="1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B353" s="1"/>
      <c r="C353" s="1"/>
      <c r="D353" s="1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B354" s="1"/>
      <c r="C354" s="1"/>
      <c r="D354" s="1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B355" s="1"/>
      <c r="C355" s="1"/>
      <c r="D355" s="1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B356" s="1"/>
      <c r="C356" s="1"/>
      <c r="D356" s="1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B357" s="1"/>
      <c r="C357" s="1"/>
      <c r="D357" s="1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B358" s="1"/>
      <c r="C358" s="1"/>
      <c r="D358" s="1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B359" s="1"/>
      <c r="C359" s="1"/>
      <c r="D359" s="1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B360" s="1"/>
      <c r="C360" s="1"/>
      <c r="D360" s="1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B361" s="1"/>
      <c r="C361" s="1"/>
      <c r="D361" s="1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B362" s="1"/>
      <c r="C362" s="1"/>
      <c r="D362" s="1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B363" s="1"/>
      <c r="C363" s="1"/>
      <c r="D363" s="1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B364" s="1"/>
      <c r="C364" s="1"/>
      <c r="D364" s="1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B365" s="1"/>
      <c r="C365" s="1"/>
      <c r="D365" s="1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B366" s="1"/>
      <c r="C366" s="1"/>
      <c r="D366" s="1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B367" s="1"/>
      <c r="C367" s="1"/>
      <c r="D367" s="1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B368" s="1"/>
      <c r="C368" s="1"/>
      <c r="D368" s="1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B369" s="1"/>
      <c r="C369" s="1"/>
      <c r="D369" s="1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B370" s="1"/>
      <c r="C370" s="1"/>
      <c r="D370" s="1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B371" s="1"/>
      <c r="C371" s="1"/>
      <c r="D371" s="1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B372" s="1"/>
      <c r="C372" s="1"/>
      <c r="D372" s="1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B373" s="1"/>
      <c r="C373" s="1"/>
      <c r="D373" s="1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B374" s="1"/>
      <c r="C374" s="1"/>
      <c r="D374" s="1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B375" s="1"/>
      <c r="C375" s="1"/>
      <c r="D375" s="1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B376" s="1"/>
      <c r="C376" s="1"/>
      <c r="D376" s="1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B377" s="1"/>
      <c r="C377" s="1"/>
      <c r="D377" s="1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B378" s="1"/>
      <c r="C378" s="1"/>
      <c r="D378" s="1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B379" s="1"/>
      <c r="C379" s="1"/>
      <c r="D379" s="1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B380" s="1"/>
      <c r="C380" s="1"/>
      <c r="D380" s="1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B381" s="1"/>
      <c r="C381" s="1"/>
      <c r="D381" s="1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B382" s="1"/>
      <c r="C382" s="1"/>
      <c r="D382" s="1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B383" s="1"/>
      <c r="C383" s="1"/>
      <c r="D383" s="1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B384" s="1"/>
      <c r="C384" s="1"/>
      <c r="D384" s="1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B385" s="1"/>
      <c r="C385" s="1"/>
      <c r="D385" s="1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B386" s="1"/>
      <c r="C386" s="1"/>
      <c r="D386" s="1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B387" s="1"/>
      <c r="C387" s="1"/>
      <c r="D387" s="1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B388" s="1"/>
      <c r="C388" s="1"/>
      <c r="D388" s="1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B389" s="1"/>
      <c r="C389" s="1"/>
      <c r="D389" s="1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B390" s="1"/>
      <c r="C390" s="1"/>
      <c r="D390" s="1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B391" s="1"/>
      <c r="C391" s="1"/>
      <c r="D391" s="1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B392" s="1"/>
      <c r="C392" s="1"/>
      <c r="D392" s="1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B393" s="1"/>
      <c r="C393" s="1"/>
      <c r="D393" s="1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B394" s="1"/>
      <c r="C394" s="1"/>
      <c r="D394" s="1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B395" s="1"/>
      <c r="C395" s="1"/>
      <c r="D395" s="1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B396" s="1"/>
      <c r="C396" s="1"/>
      <c r="D396" s="1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B397" s="1"/>
      <c r="C397" s="1"/>
      <c r="D397" s="1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B398" s="1"/>
      <c r="C398" s="1"/>
      <c r="D398" s="1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B399" s="1"/>
      <c r="C399" s="1"/>
      <c r="D399" s="1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B400" s="1"/>
      <c r="C400" s="1"/>
      <c r="D400" s="1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B401" s="1"/>
      <c r="C401" s="1"/>
      <c r="D401" s="1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B402" s="1"/>
      <c r="C402" s="1"/>
      <c r="D402" s="1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B403" s="1"/>
      <c r="C403" s="1"/>
      <c r="D403" s="1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B404" s="1"/>
      <c r="C404" s="1"/>
      <c r="D404" s="1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B405" s="1"/>
      <c r="C405" s="1"/>
      <c r="D405" s="1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B406" s="1"/>
      <c r="C406" s="1"/>
      <c r="D406" s="1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B407" s="1"/>
      <c r="C407" s="1"/>
      <c r="D407" s="1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B408" s="1"/>
      <c r="C408" s="1"/>
      <c r="D408" s="1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B409" s="1"/>
      <c r="C409" s="1"/>
      <c r="D409" s="1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B410" s="1"/>
      <c r="C410" s="1"/>
      <c r="D410" s="1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B411" s="1"/>
      <c r="C411" s="1"/>
      <c r="D411" s="1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1"/>
      <c r="B412" s="1"/>
      <c r="C412" s="1"/>
      <c r="D412" s="1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1"/>
      <c r="B413" s="1"/>
      <c r="C413" s="1"/>
      <c r="D413" s="1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1"/>
      <c r="B414" s="1"/>
      <c r="C414" s="1"/>
      <c r="D414" s="1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">
      <c r="A415" s="1"/>
      <c r="B415" s="1"/>
      <c r="C415" s="1"/>
      <c r="D415" s="1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">
      <c r="A416" s="1"/>
      <c r="B416" s="1"/>
      <c r="C416" s="1"/>
      <c r="D416" s="1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">
      <c r="A417" s="1"/>
      <c r="B417" s="1"/>
      <c r="C417" s="1"/>
      <c r="D417" s="1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">
      <c r="A418" s="1"/>
      <c r="B418" s="1"/>
      <c r="C418" s="1"/>
      <c r="D418" s="1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">
      <c r="A419" s="1"/>
      <c r="B419" s="1"/>
      <c r="C419" s="1"/>
      <c r="D419" s="1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">
      <c r="A420" s="1"/>
      <c r="B420" s="1"/>
      <c r="C420" s="1"/>
      <c r="D420" s="1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">
      <c r="A421" s="1"/>
      <c r="B421" s="1"/>
      <c r="C421" s="1"/>
      <c r="D421" s="1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">
      <c r="A422" s="1"/>
      <c r="B422" s="1"/>
      <c r="C422" s="1"/>
      <c r="D422" s="1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">
      <c r="A423" s="1"/>
      <c r="B423" s="1"/>
      <c r="C423" s="1"/>
      <c r="D423" s="1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">
      <c r="A424" s="1"/>
      <c r="B424" s="1"/>
      <c r="C424" s="1"/>
      <c r="D424" s="1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">
      <c r="A425" s="1"/>
      <c r="B425" s="1"/>
      <c r="C425" s="1"/>
      <c r="D425" s="1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">
      <c r="A426" s="1"/>
      <c r="B426" s="1"/>
      <c r="C426" s="1"/>
      <c r="D426" s="1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">
      <c r="A427" s="1"/>
      <c r="B427" s="1"/>
      <c r="C427" s="1"/>
      <c r="D427" s="1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">
      <c r="A428" s="1"/>
      <c r="B428" s="1"/>
      <c r="C428" s="1"/>
      <c r="D428" s="1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">
      <c r="A429" s="1"/>
      <c r="B429" s="1"/>
      <c r="C429" s="1"/>
      <c r="D429" s="1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">
      <c r="A430" s="1"/>
      <c r="B430" s="1"/>
      <c r="C430" s="1"/>
      <c r="D430" s="1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">
      <c r="A431" s="1"/>
      <c r="B431" s="1"/>
      <c r="C431" s="1"/>
      <c r="D431" s="1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3">
      <c r="A432" s="1"/>
      <c r="B432" s="1"/>
      <c r="C432" s="1"/>
      <c r="D432" s="1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3">
      <c r="A433" s="1"/>
      <c r="B433" s="1"/>
      <c r="C433" s="1"/>
      <c r="D433" s="1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3">
      <c r="A434" s="1"/>
      <c r="B434" s="1"/>
      <c r="C434" s="1"/>
      <c r="D434" s="1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3">
      <c r="A435" s="1"/>
      <c r="B435" s="1"/>
      <c r="C435" s="1"/>
      <c r="D435" s="1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3">
      <c r="A436" s="1"/>
      <c r="B436" s="1"/>
      <c r="C436" s="1"/>
      <c r="D436" s="1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3">
      <c r="A437" s="1"/>
      <c r="B437" s="1"/>
      <c r="C437" s="1"/>
      <c r="D437" s="1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3">
      <c r="A438" s="1"/>
      <c r="B438" s="1"/>
      <c r="C438" s="1"/>
      <c r="D438" s="1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3">
      <c r="A439" s="1"/>
      <c r="B439" s="1"/>
      <c r="C439" s="1"/>
      <c r="D439" s="1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3">
      <c r="A440" s="1"/>
      <c r="B440" s="1"/>
      <c r="C440" s="1"/>
      <c r="D440" s="1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3">
      <c r="A441" s="1"/>
      <c r="B441" s="1"/>
      <c r="C441" s="1"/>
      <c r="D441" s="1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3">
      <c r="A442" s="1"/>
      <c r="B442" s="1"/>
      <c r="C442" s="1"/>
      <c r="D442" s="1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3">
      <c r="A443" s="1"/>
      <c r="B443" s="1"/>
      <c r="C443" s="1"/>
      <c r="D443" s="1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3">
      <c r="A444" s="1"/>
      <c r="B444" s="1"/>
      <c r="C444" s="1"/>
      <c r="D444" s="1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3">
      <c r="A445" s="1"/>
      <c r="B445" s="1"/>
      <c r="C445" s="1"/>
      <c r="D445" s="1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3">
      <c r="A446" s="1"/>
      <c r="B446" s="1"/>
      <c r="C446" s="1"/>
      <c r="D446" s="1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3">
      <c r="A447" s="1"/>
      <c r="B447" s="1"/>
      <c r="C447" s="1"/>
      <c r="D447" s="1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3">
      <c r="A448" s="1"/>
      <c r="B448" s="1"/>
      <c r="C448" s="1"/>
      <c r="D448" s="1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3">
      <c r="A449" s="1"/>
      <c r="B449" s="1"/>
      <c r="C449" s="1"/>
      <c r="D449" s="1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3">
      <c r="A450" s="1"/>
      <c r="B450" s="1"/>
      <c r="C450" s="1"/>
      <c r="D450" s="1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3">
      <c r="A451" s="1"/>
      <c r="B451" s="1"/>
      <c r="C451" s="1"/>
      <c r="D451" s="1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3">
      <c r="A452" s="1"/>
      <c r="B452" s="1"/>
      <c r="C452" s="1"/>
      <c r="D452" s="1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3">
      <c r="A453" s="1"/>
      <c r="B453" s="1"/>
      <c r="C453" s="1"/>
      <c r="D453" s="1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3">
      <c r="A454" s="1"/>
      <c r="B454" s="1"/>
      <c r="C454" s="1"/>
      <c r="D454" s="1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3">
      <c r="A455" s="1"/>
      <c r="B455" s="1"/>
      <c r="C455" s="1"/>
      <c r="D455" s="1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3">
      <c r="A456" s="1"/>
      <c r="B456" s="1"/>
      <c r="C456" s="1"/>
      <c r="D456" s="1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3">
      <c r="A457" s="1"/>
      <c r="B457" s="1"/>
      <c r="C457" s="1"/>
      <c r="D457" s="1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3">
      <c r="A458" s="1"/>
      <c r="B458" s="1"/>
      <c r="C458" s="1"/>
      <c r="D458" s="1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3">
      <c r="A459" s="1"/>
      <c r="B459" s="1"/>
      <c r="C459" s="1"/>
      <c r="D459" s="1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3">
      <c r="A460" s="1"/>
      <c r="B460" s="1"/>
      <c r="C460" s="1"/>
      <c r="D460" s="1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3">
      <c r="A461" s="1"/>
      <c r="B461" s="1"/>
      <c r="C461" s="1"/>
      <c r="D461" s="1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3">
      <c r="A462" s="1"/>
      <c r="B462" s="1"/>
      <c r="C462" s="1"/>
      <c r="D462" s="1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3">
      <c r="A463" s="1"/>
      <c r="B463" s="1"/>
      <c r="C463" s="1"/>
      <c r="D463" s="1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3">
      <c r="A464" s="1"/>
      <c r="B464" s="1"/>
      <c r="C464" s="1"/>
      <c r="D464" s="1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3">
      <c r="A465" s="1"/>
      <c r="B465" s="1"/>
      <c r="C465" s="1"/>
      <c r="D465" s="1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3">
      <c r="A466" s="1"/>
      <c r="B466" s="1"/>
      <c r="C466" s="1"/>
      <c r="D466" s="1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3">
      <c r="A467" s="1"/>
      <c r="B467" s="1"/>
      <c r="C467" s="1"/>
      <c r="D467" s="1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3">
      <c r="A468" s="1"/>
      <c r="B468" s="1"/>
      <c r="C468" s="1"/>
      <c r="D468" s="1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3">
      <c r="A469" s="1"/>
      <c r="B469" s="1"/>
      <c r="C469" s="1"/>
      <c r="D469" s="1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3">
      <c r="A470" s="1"/>
      <c r="B470" s="1"/>
      <c r="C470" s="1"/>
      <c r="D470" s="1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3">
      <c r="A471" s="1"/>
      <c r="B471" s="1"/>
      <c r="C471" s="1"/>
      <c r="D471" s="1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3">
      <c r="A472" s="1"/>
      <c r="B472" s="1"/>
      <c r="C472" s="1"/>
      <c r="D472" s="1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3">
      <c r="A473" s="1"/>
      <c r="B473" s="1"/>
      <c r="C473" s="1"/>
      <c r="D473" s="1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3">
      <c r="A474" s="1"/>
      <c r="B474" s="1"/>
      <c r="C474" s="1"/>
      <c r="D474" s="1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3">
      <c r="A475" s="1"/>
      <c r="B475" s="1"/>
      <c r="C475" s="1"/>
      <c r="D475" s="1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3">
      <c r="A476" s="1"/>
      <c r="B476" s="1"/>
      <c r="C476" s="1"/>
      <c r="D476" s="1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3">
      <c r="A477" s="1"/>
      <c r="B477" s="1"/>
      <c r="C477" s="1"/>
      <c r="D477" s="1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3">
      <c r="A478" s="1"/>
      <c r="B478" s="1"/>
      <c r="C478" s="1"/>
      <c r="D478" s="1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3">
      <c r="A479" s="1"/>
      <c r="B479" s="1"/>
      <c r="C479" s="1"/>
      <c r="D479" s="1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3">
      <c r="A480" s="1"/>
      <c r="B480" s="1"/>
      <c r="C480" s="1"/>
      <c r="D480" s="1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3">
      <c r="A481" s="1"/>
      <c r="B481" s="1"/>
      <c r="C481" s="1"/>
      <c r="D481" s="1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3">
      <c r="A482" s="1"/>
      <c r="B482" s="1"/>
      <c r="C482" s="1"/>
      <c r="D482" s="1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3">
      <c r="A483" s="1"/>
      <c r="B483" s="1"/>
      <c r="C483" s="1"/>
      <c r="D483" s="1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3">
      <c r="A484" s="1"/>
      <c r="B484" s="1"/>
      <c r="C484" s="1"/>
      <c r="D484" s="1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3">
      <c r="A485" s="1"/>
      <c r="B485" s="1"/>
      <c r="C485" s="1"/>
      <c r="D485" s="1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3">
      <c r="A486" s="1"/>
      <c r="B486" s="1"/>
      <c r="C486" s="1"/>
      <c r="D486" s="1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3">
      <c r="A487" s="1"/>
      <c r="B487" s="1"/>
      <c r="C487" s="1"/>
      <c r="D487" s="1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3">
      <c r="A488" s="1"/>
      <c r="B488" s="1"/>
      <c r="C488" s="1"/>
      <c r="D488" s="1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3">
      <c r="A489" s="1"/>
      <c r="B489" s="1"/>
      <c r="C489" s="1"/>
      <c r="D489" s="1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3">
      <c r="A490" s="1"/>
      <c r="B490" s="1"/>
      <c r="C490" s="1"/>
      <c r="D490" s="1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3">
      <c r="A491" s="1"/>
      <c r="B491" s="1"/>
      <c r="C491" s="1"/>
      <c r="D491" s="1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3">
      <c r="A492" s="1"/>
      <c r="B492" s="1"/>
      <c r="C492" s="1"/>
      <c r="D492" s="1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3">
      <c r="A493" s="1"/>
      <c r="B493" s="1"/>
      <c r="C493" s="1"/>
      <c r="D493" s="1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3">
      <c r="A494" s="1"/>
      <c r="B494" s="1"/>
      <c r="C494" s="1"/>
      <c r="D494" s="1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3">
      <c r="A495" s="1"/>
      <c r="B495" s="1"/>
      <c r="C495" s="1"/>
      <c r="D495" s="1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3">
      <c r="A496" s="1"/>
      <c r="B496" s="1"/>
      <c r="C496" s="1"/>
      <c r="D496" s="1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3">
      <c r="A497" s="1"/>
      <c r="B497" s="1"/>
      <c r="C497" s="1"/>
      <c r="D497" s="1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3">
      <c r="A498" s="1"/>
      <c r="B498" s="1"/>
      <c r="C498" s="1"/>
      <c r="D498" s="1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3">
      <c r="A499" s="1"/>
      <c r="B499" s="1"/>
      <c r="C499" s="1"/>
      <c r="D499" s="1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3">
      <c r="A500" s="1"/>
      <c r="B500" s="1"/>
      <c r="C500" s="1"/>
      <c r="D500" s="1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3">
      <c r="A501" s="1"/>
      <c r="B501" s="1"/>
      <c r="C501" s="1"/>
      <c r="D501" s="1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3">
      <c r="A502" s="1"/>
      <c r="B502" s="1"/>
      <c r="C502" s="1"/>
      <c r="D502" s="1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3">
      <c r="A503" s="1"/>
      <c r="B503" s="1"/>
      <c r="C503" s="1"/>
      <c r="D503" s="1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3">
      <c r="A504" s="1"/>
      <c r="B504" s="1"/>
      <c r="C504" s="1"/>
      <c r="D504" s="1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3">
      <c r="A505" s="1"/>
      <c r="B505" s="1"/>
      <c r="C505" s="1"/>
      <c r="D505" s="1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3">
      <c r="A506" s="1"/>
      <c r="B506" s="1"/>
      <c r="C506" s="1"/>
      <c r="D506" s="1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3">
      <c r="A507" s="1"/>
      <c r="B507" s="1"/>
      <c r="C507" s="1"/>
      <c r="D507" s="1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3">
      <c r="A508" s="1"/>
      <c r="B508" s="1"/>
      <c r="C508" s="1"/>
      <c r="D508" s="1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3">
      <c r="A509" s="1"/>
      <c r="B509" s="1"/>
      <c r="C509" s="1"/>
      <c r="D509" s="1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3">
      <c r="A510" s="1"/>
      <c r="B510" s="1"/>
      <c r="C510" s="1"/>
      <c r="D510" s="1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3">
      <c r="A511" s="1"/>
      <c r="B511" s="1"/>
      <c r="C511" s="1"/>
      <c r="D511" s="1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3">
      <c r="A512" s="1"/>
      <c r="B512" s="1"/>
      <c r="C512" s="1"/>
      <c r="D512" s="1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3">
      <c r="A513" s="1"/>
      <c r="B513" s="1"/>
      <c r="C513" s="1"/>
      <c r="D513" s="1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3">
      <c r="A514" s="1"/>
      <c r="B514" s="1"/>
      <c r="C514" s="1"/>
      <c r="D514" s="1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3">
      <c r="A515" s="1"/>
      <c r="B515" s="1"/>
      <c r="C515" s="1"/>
      <c r="D515" s="1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3">
      <c r="A516" s="1"/>
      <c r="B516" s="1"/>
      <c r="C516" s="1"/>
      <c r="D516" s="1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3">
      <c r="A517" s="1"/>
      <c r="B517" s="1"/>
      <c r="C517" s="1"/>
      <c r="D517" s="1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3">
      <c r="A518" s="1"/>
      <c r="B518" s="1"/>
      <c r="C518" s="1"/>
      <c r="D518" s="1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3">
      <c r="A519" s="1"/>
      <c r="B519" s="1"/>
      <c r="C519" s="1"/>
      <c r="D519" s="1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3">
      <c r="A520" s="1"/>
      <c r="B520" s="1"/>
      <c r="C520" s="1"/>
      <c r="D520" s="1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3">
      <c r="A521" s="1"/>
      <c r="B521" s="1"/>
      <c r="C521" s="1"/>
      <c r="D521" s="1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3">
      <c r="A522" s="1"/>
      <c r="B522" s="1"/>
      <c r="C522" s="1"/>
      <c r="D522" s="1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3">
      <c r="A523" s="1"/>
      <c r="B523" s="1"/>
      <c r="C523" s="1"/>
      <c r="D523" s="1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3">
      <c r="A524" s="1"/>
      <c r="B524" s="1"/>
      <c r="C524" s="1"/>
      <c r="D524" s="1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3">
      <c r="A525" s="1"/>
      <c r="B525" s="1"/>
      <c r="C525" s="1"/>
      <c r="D525" s="1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3">
      <c r="A526" s="1"/>
      <c r="B526" s="1"/>
      <c r="C526" s="1"/>
      <c r="D526" s="1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3">
      <c r="A527" s="1"/>
      <c r="B527" s="1"/>
      <c r="C527" s="1"/>
      <c r="D527" s="1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3">
      <c r="A528" s="1"/>
      <c r="B528" s="1"/>
      <c r="C528" s="1"/>
      <c r="D528" s="1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3">
      <c r="A529" s="1"/>
      <c r="B529" s="1"/>
      <c r="C529" s="1"/>
      <c r="D529" s="1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3">
      <c r="A530" s="1"/>
      <c r="B530" s="1"/>
      <c r="C530" s="1"/>
      <c r="D530" s="1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3">
      <c r="A531" s="1"/>
      <c r="B531" s="1"/>
      <c r="C531" s="1"/>
      <c r="D531" s="1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3">
      <c r="A532" s="1"/>
      <c r="B532" s="1"/>
      <c r="C532" s="1"/>
      <c r="D532" s="1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3">
      <c r="A533" s="1"/>
      <c r="B533" s="1"/>
      <c r="C533" s="1"/>
      <c r="D533" s="1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3">
      <c r="A534" s="1"/>
      <c r="B534" s="1"/>
      <c r="C534" s="1"/>
      <c r="D534" s="1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3">
      <c r="A535" s="1"/>
      <c r="B535" s="1"/>
      <c r="C535" s="1"/>
      <c r="D535" s="1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3">
      <c r="A536" s="1"/>
      <c r="B536" s="1"/>
      <c r="C536" s="1"/>
      <c r="D536" s="1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3">
      <c r="A537" s="1"/>
      <c r="B537" s="1"/>
      <c r="C537" s="1"/>
      <c r="D537" s="1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3">
      <c r="A538" s="1"/>
      <c r="B538" s="1"/>
      <c r="C538" s="1"/>
      <c r="D538" s="1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3">
      <c r="A539" s="1"/>
      <c r="B539" s="1"/>
      <c r="C539" s="1"/>
      <c r="D539" s="1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3">
      <c r="A540" s="1"/>
      <c r="B540" s="1"/>
      <c r="C540" s="1"/>
      <c r="D540" s="1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3">
      <c r="A541" s="1"/>
      <c r="B541" s="1"/>
      <c r="C541" s="1"/>
      <c r="D541" s="1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3">
      <c r="A542" s="1"/>
      <c r="B542" s="1"/>
      <c r="C542" s="1"/>
      <c r="D542" s="1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3">
      <c r="A543" s="1"/>
      <c r="B543" s="1"/>
      <c r="C543" s="1"/>
      <c r="D543" s="1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3">
      <c r="A544" s="1"/>
      <c r="B544" s="1"/>
      <c r="C544" s="1"/>
      <c r="D544" s="1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3">
      <c r="A545" s="1"/>
      <c r="B545" s="1"/>
      <c r="C545" s="1"/>
      <c r="D545" s="1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3">
      <c r="A546" s="1"/>
      <c r="B546" s="1"/>
      <c r="C546" s="1"/>
      <c r="D546" s="1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3">
      <c r="A547" s="1"/>
      <c r="B547" s="1"/>
      <c r="C547" s="1"/>
      <c r="D547" s="1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3">
      <c r="A548" s="1"/>
      <c r="B548" s="1"/>
      <c r="C548" s="1"/>
      <c r="D548" s="1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3">
      <c r="A549" s="1"/>
      <c r="B549" s="1"/>
      <c r="C549" s="1"/>
      <c r="D549" s="1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3">
      <c r="A550" s="1"/>
      <c r="B550" s="1"/>
      <c r="C550" s="1"/>
      <c r="D550" s="1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3">
      <c r="A551" s="1"/>
      <c r="B551" s="1"/>
      <c r="C551" s="1"/>
      <c r="D551" s="1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3">
      <c r="A552" s="1"/>
      <c r="B552" s="1"/>
      <c r="C552" s="1"/>
      <c r="D552" s="1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3">
      <c r="A553" s="1"/>
      <c r="B553" s="1"/>
      <c r="C553" s="1"/>
      <c r="D553" s="1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3">
      <c r="A554" s="1"/>
      <c r="B554" s="1"/>
      <c r="C554" s="1"/>
      <c r="D554" s="1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3">
      <c r="A555" s="1"/>
      <c r="B555" s="1"/>
      <c r="C555" s="1"/>
      <c r="D555" s="1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3">
      <c r="A556" s="1"/>
      <c r="B556" s="1"/>
      <c r="C556" s="1"/>
      <c r="D556" s="1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3">
      <c r="A557" s="1"/>
      <c r="B557" s="1"/>
      <c r="C557" s="1"/>
      <c r="D557" s="1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3">
      <c r="A558" s="1"/>
      <c r="B558" s="1"/>
      <c r="C558" s="1"/>
      <c r="D558" s="1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3">
      <c r="A559" s="1"/>
      <c r="B559" s="1"/>
      <c r="C559" s="1"/>
      <c r="D559" s="1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3">
      <c r="A560" s="1"/>
      <c r="B560" s="1"/>
      <c r="C560" s="1"/>
      <c r="D560" s="1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3">
      <c r="A561" s="1"/>
      <c r="B561" s="1"/>
      <c r="C561" s="1"/>
      <c r="D561" s="1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3">
      <c r="A562" s="1"/>
      <c r="B562" s="1"/>
      <c r="C562" s="1"/>
      <c r="D562" s="1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3">
      <c r="A563" s="1"/>
      <c r="B563" s="1"/>
      <c r="C563" s="1"/>
      <c r="D563" s="1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3">
      <c r="A564" s="1"/>
      <c r="B564" s="1"/>
      <c r="C564" s="1"/>
      <c r="D564" s="1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3">
      <c r="A565" s="1"/>
      <c r="B565" s="1"/>
      <c r="C565" s="1"/>
      <c r="D565" s="1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3">
      <c r="A566" s="1"/>
      <c r="B566" s="1"/>
      <c r="C566" s="1"/>
      <c r="D566" s="1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3">
      <c r="A567" s="1"/>
      <c r="B567" s="1"/>
      <c r="C567" s="1"/>
      <c r="D567" s="1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3">
      <c r="A568" s="1"/>
      <c r="B568" s="1"/>
      <c r="C568" s="1"/>
      <c r="D568" s="1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3">
      <c r="A569" s="1"/>
      <c r="B569" s="1"/>
      <c r="C569" s="1"/>
      <c r="D569" s="1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3">
      <c r="A570" s="1"/>
      <c r="B570" s="1"/>
      <c r="C570" s="1"/>
      <c r="D570" s="1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3">
      <c r="A571" s="1"/>
      <c r="B571" s="1"/>
      <c r="C571" s="1"/>
      <c r="D571" s="1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3">
      <c r="A572" s="1"/>
      <c r="B572" s="1"/>
      <c r="C572" s="1"/>
      <c r="D572" s="1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3">
      <c r="A573" s="1"/>
      <c r="B573" s="1"/>
      <c r="C573" s="1"/>
      <c r="D573" s="1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3">
      <c r="A574" s="1"/>
      <c r="B574" s="1"/>
      <c r="C574" s="1"/>
      <c r="D574" s="1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3">
      <c r="A575" s="1"/>
      <c r="B575" s="1"/>
      <c r="C575" s="1"/>
      <c r="D575" s="1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3">
      <c r="A576" s="1"/>
      <c r="B576" s="1"/>
      <c r="C576" s="1"/>
      <c r="D576" s="1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3">
      <c r="A577" s="1"/>
      <c r="B577" s="1"/>
      <c r="C577" s="1"/>
      <c r="D577" s="1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3">
      <c r="A578" s="1"/>
      <c r="B578" s="1"/>
      <c r="C578" s="1"/>
      <c r="D578" s="1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3">
      <c r="A579" s="1"/>
      <c r="B579" s="1"/>
      <c r="C579" s="1"/>
      <c r="D579" s="1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3">
      <c r="A580" s="1"/>
      <c r="B580" s="1"/>
      <c r="C580" s="1"/>
      <c r="D580" s="1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3">
      <c r="A581" s="1"/>
      <c r="B581" s="1"/>
      <c r="C581" s="1"/>
      <c r="D581" s="1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3">
      <c r="A582" s="1"/>
      <c r="B582" s="1"/>
      <c r="C582" s="1"/>
      <c r="D582" s="1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3">
      <c r="A583" s="1"/>
      <c r="B583" s="1"/>
      <c r="C583" s="1"/>
      <c r="D583" s="1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3">
      <c r="A584" s="1"/>
      <c r="B584" s="1"/>
      <c r="C584" s="1"/>
      <c r="D584" s="1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3">
      <c r="A585" s="1"/>
      <c r="B585" s="1"/>
      <c r="C585" s="1"/>
      <c r="D585" s="1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3">
      <c r="A586" s="1"/>
      <c r="B586" s="1"/>
      <c r="C586" s="1"/>
      <c r="D586" s="1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3">
      <c r="A587" s="1"/>
      <c r="B587" s="1"/>
      <c r="C587" s="1"/>
      <c r="D587" s="1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3">
      <c r="A588" s="1"/>
      <c r="B588" s="1"/>
      <c r="C588" s="1"/>
      <c r="D588" s="1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3">
      <c r="A589" s="1"/>
      <c r="B589" s="1"/>
      <c r="C589" s="1"/>
      <c r="D589" s="1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3">
      <c r="A590" s="1"/>
      <c r="B590" s="1"/>
      <c r="C590" s="1"/>
      <c r="D590" s="1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3">
      <c r="A591" s="1"/>
      <c r="B591" s="1"/>
      <c r="C591" s="1"/>
      <c r="D591" s="1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3">
      <c r="A592" s="1"/>
      <c r="B592" s="1"/>
      <c r="C592" s="1"/>
      <c r="D592" s="1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3">
      <c r="A593" s="1"/>
      <c r="B593" s="1"/>
      <c r="C593" s="1"/>
      <c r="D593" s="1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3">
      <c r="A594" s="1"/>
      <c r="B594" s="1"/>
      <c r="C594" s="1"/>
      <c r="D594" s="1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3">
      <c r="A595" s="1"/>
      <c r="B595" s="1"/>
      <c r="C595" s="1"/>
      <c r="D595" s="1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3">
      <c r="A596" s="1"/>
      <c r="B596" s="1"/>
      <c r="C596" s="1"/>
      <c r="D596" s="1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3">
      <c r="A597" s="1"/>
      <c r="B597" s="1"/>
      <c r="C597" s="1"/>
      <c r="D597" s="1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3">
      <c r="A598" s="1"/>
      <c r="B598" s="1"/>
      <c r="C598" s="1"/>
      <c r="D598" s="1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3">
      <c r="A599" s="1"/>
      <c r="B599" s="1"/>
      <c r="C599" s="1"/>
      <c r="D599" s="1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3">
      <c r="A600" s="1"/>
      <c r="B600" s="1"/>
      <c r="C600" s="1"/>
      <c r="D600" s="1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3">
      <c r="A601" s="1"/>
      <c r="B601" s="1"/>
      <c r="C601" s="1"/>
      <c r="D601" s="1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3">
      <c r="A602" s="1"/>
      <c r="B602" s="1"/>
      <c r="C602" s="1"/>
      <c r="D602" s="1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3">
      <c r="A603" s="1"/>
      <c r="B603" s="1"/>
      <c r="C603" s="1"/>
      <c r="D603" s="1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3">
      <c r="A604" s="1"/>
      <c r="B604" s="1"/>
      <c r="C604" s="1"/>
      <c r="D604" s="1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3">
      <c r="A605" s="1"/>
      <c r="B605" s="1"/>
      <c r="C605" s="1"/>
      <c r="D605" s="1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3">
      <c r="A606" s="1"/>
      <c r="B606" s="1"/>
      <c r="C606" s="1"/>
      <c r="D606" s="1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3">
      <c r="A607" s="1"/>
      <c r="B607" s="1"/>
      <c r="C607" s="1"/>
      <c r="D607" s="1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3">
      <c r="A608" s="1"/>
      <c r="B608" s="1"/>
      <c r="C608" s="1"/>
      <c r="D608" s="1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3">
      <c r="A609" s="1"/>
      <c r="B609" s="1"/>
      <c r="C609" s="1"/>
      <c r="D609" s="1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3">
      <c r="A610" s="1"/>
      <c r="B610" s="1"/>
      <c r="C610" s="1"/>
      <c r="D610" s="1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3">
      <c r="A611" s="1"/>
      <c r="B611" s="1"/>
      <c r="C611" s="1"/>
      <c r="D611" s="1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3">
      <c r="A612" s="1"/>
      <c r="B612" s="1"/>
      <c r="C612" s="1"/>
      <c r="D612" s="1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3">
      <c r="A613" s="1"/>
      <c r="B613" s="1"/>
      <c r="C613" s="1"/>
      <c r="D613" s="1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3">
      <c r="A614" s="1"/>
      <c r="B614" s="1"/>
      <c r="C614" s="1"/>
      <c r="D614" s="1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3">
      <c r="A615" s="1"/>
      <c r="B615" s="1"/>
      <c r="C615" s="1"/>
      <c r="D615" s="1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3">
      <c r="A616" s="1"/>
      <c r="B616" s="1"/>
      <c r="C616" s="1"/>
      <c r="D616" s="1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3">
      <c r="A617" s="1"/>
      <c r="B617" s="1"/>
      <c r="C617" s="1"/>
      <c r="D617" s="1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3">
      <c r="A618" s="1"/>
      <c r="B618" s="1"/>
      <c r="C618" s="1"/>
      <c r="D618" s="1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3">
      <c r="A619" s="1"/>
      <c r="B619" s="1"/>
      <c r="C619" s="1"/>
      <c r="D619" s="1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3">
      <c r="A620" s="1"/>
      <c r="B620" s="1"/>
      <c r="C620" s="1"/>
      <c r="D620" s="1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3">
      <c r="A621" s="1"/>
      <c r="B621" s="1"/>
      <c r="C621" s="1"/>
      <c r="D621" s="1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3">
      <c r="A622" s="1"/>
      <c r="B622" s="1"/>
      <c r="C622" s="1"/>
      <c r="D622" s="1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3">
      <c r="A623" s="1"/>
      <c r="B623" s="1"/>
      <c r="C623" s="1"/>
      <c r="D623" s="1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3">
      <c r="A624" s="1"/>
      <c r="B624" s="1"/>
      <c r="C624" s="1"/>
      <c r="D624" s="1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3">
      <c r="A625" s="1"/>
      <c r="B625" s="1"/>
      <c r="C625" s="1"/>
      <c r="D625" s="1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3">
      <c r="A626" s="1"/>
      <c r="B626" s="1"/>
      <c r="C626" s="1"/>
      <c r="D626" s="1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3">
      <c r="A627" s="1"/>
      <c r="B627" s="1"/>
      <c r="C627" s="1"/>
      <c r="D627" s="1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3">
      <c r="A628" s="1"/>
      <c r="B628" s="1"/>
      <c r="C628" s="1"/>
      <c r="D628" s="1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3">
      <c r="A629" s="1"/>
      <c r="B629" s="1"/>
      <c r="C629" s="1"/>
      <c r="D629" s="1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3">
      <c r="A630" s="1"/>
      <c r="B630" s="1"/>
      <c r="C630" s="1"/>
      <c r="D630" s="1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3">
      <c r="A631" s="1"/>
      <c r="B631" s="1"/>
      <c r="C631" s="1"/>
      <c r="D631" s="1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3">
      <c r="A632" s="1"/>
      <c r="B632" s="1"/>
      <c r="C632" s="1"/>
      <c r="D632" s="1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3">
      <c r="A633" s="1"/>
      <c r="B633" s="1"/>
      <c r="C633" s="1"/>
      <c r="D633" s="1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3">
      <c r="A634" s="1"/>
      <c r="B634" s="1"/>
      <c r="C634" s="1"/>
      <c r="D634" s="1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3">
      <c r="A635" s="1"/>
      <c r="B635" s="1"/>
      <c r="C635" s="1"/>
      <c r="D635" s="1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3">
      <c r="A636" s="1"/>
      <c r="B636" s="1"/>
      <c r="C636" s="1"/>
      <c r="D636" s="1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3">
      <c r="A637" s="1"/>
      <c r="B637" s="1"/>
      <c r="C637" s="1"/>
      <c r="D637" s="1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3">
      <c r="A638" s="1"/>
      <c r="B638" s="1"/>
      <c r="C638" s="1"/>
      <c r="D638" s="1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3">
      <c r="A639" s="1"/>
      <c r="B639" s="1"/>
      <c r="C639" s="1"/>
      <c r="D639" s="1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3">
      <c r="A640" s="1"/>
      <c r="B640" s="1"/>
      <c r="C640" s="1"/>
      <c r="D640" s="1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3">
      <c r="A641" s="1"/>
      <c r="B641" s="1"/>
      <c r="C641" s="1"/>
      <c r="D641" s="1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3">
      <c r="A642" s="1"/>
      <c r="B642" s="1"/>
      <c r="C642" s="1"/>
      <c r="D642" s="1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3">
      <c r="A643" s="1"/>
      <c r="B643" s="1"/>
      <c r="C643" s="1"/>
      <c r="D643" s="1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3">
      <c r="A644" s="1"/>
      <c r="B644" s="1"/>
      <c r="C644" s="1"/>
      <c r="D644" s="1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3">
      <c r="A645" s="1"/>
      <c r="B645" s="1"/>
      <c r="C645" s="1"/>
      <c r="D645" s="1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3">
      <c r="A646" s="1"/>
      <c r="B646" s="1"/>
      <c r="C646" s="1"/>
      <c r="D646" s="1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3">
      <c r="A647" s="1"/>
      <c r="B647" s="1"/>
      <c r="C647" s="1"/>
      <c r="D647" s="1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3">
      <c r="A648" s="1"/>
      <c r="B648" s="1"/>
      <c r="C648" s="1"/>
      <c r="D648" s="1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3">
      <c r="A649" s="1"/>
      <c r="B649" s="1"/>
      <c r="C649" s="1"/>
      <c r="D649" s="1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3">
      <c r="A650" s="1"/>
      <c r="B650" s="1"/>
      <c r="C650" s="1"/>
      <c r="D650" s="1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3">
      <c r="A651" s="1"/>
      <c r="B651" s="1"/>
      <c r="C651" s="1"/>
      <c r="D651" s="1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3">
      <c r="A652" s="1"/>
      <c r="B652" s="1"/>
      <c r="C652" s="1"/>
      <c r="D652" s="1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3">
      <c r="A653" s="1"/>
      <c r="B653" s="1"/>
      <c r="C653" s="1"/>
      <c r="D653" s="1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3">
      <c r="A654" s="1"/>
      <c r="B654" s="1"/>
      <c r="C654" s="1"/>
      <c r="D654" s="1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3">
      <c r="A655" s="1"/>
      <c r="B655" s="1"/>
      <c r="C655" s="1"/>
      <c r="D655" s="1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3">
      <c r="A656" s="1"/>
      <c r="B656" s="1"/>
      <c r="C656" s="1"/>
      <c r="D656" s="1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3">
      <c r="A657" s="1"/>
      <c r="B657" s="1"/>
      <c r="C657" s="1"/>
      <c r="D657" s="1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3">
      <c r="A658" s="1"/>
      <c r="B658" s="1"/>
      <c r="C658" s="1"/>
      <c r="D658" s="1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3">
      <c r="A659" s="1"/>
      <c r="B659" s="1"/>
      <c r="C659" s="1"/>
      <c r="D659" s="1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3">
      <c r="A660" s="1"/>
      <c r="B660" s="1"/>
      <c r="C660" s="1"/>
      <c r="D660" s="1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3">
      <c r="A661" s="1"/>
      <c r="B661" s="1"/>
      <c r="C661" s="1"/>
      <c r="D661" s="1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3">
      <c r="A662" s="1"/>
      <c r="B662" s="1"/>
      <c r="C662" s="1"/>
      <c r="D662" s="1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3">
      <c r="A663" s="1"/>
      <c r="B663" s="1"/>
      <c r="C663" s="1"/>
      <c r="D663" s="1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3">
      <c r="A664" s="1"/>
      <c r="B664" s="1"/>
      <c r="C664" s="1"/>
      <c r="D664" s="1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3">
      <c r="A665" s="1"/>
      <c r="B665" s="1"/>
      <c r="C665" s="1"/>
      <c r="D665" s="1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3">
      <c r="A666" s="1"/>
      <c r="B666" s="1"/>
      <c r="C666" s="1"/>
      <c r="D666" s="1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3">
      <c r="A667" s="1"/>
      <c r="B667" s="1"/>
      <c r="C667" s="1"/>
      <c r="D667" s="1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3">
      <c r="A668" s="1"/>
      <c r="B668" s="1"/>
      <c r="C668" s="1"/>
      <c r="D668" s="1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3">
      <c r="A669" s="1"/>
      <c r="B669" s="1"/>
      <c r="C669" s="1"/>
      <c r="D669" s="1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3">
      <c r="A670" s="1"/>
      <c r="B670" s="1"/>
      <c r="C670" s="1"/>
      <c r="D670" s="1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3">
      <c r="A671" s="1"/>
      <c r="B671" s="1"/>
      <c r="C671" s="1"/>
      <c r="D671" s="1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3">
      <c r="A672" s="1"/>
      <c r="B672" s="1"/>
      <c r="C672" s="1"/>
      <c r="D672" s="1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3">
      <c r="A673" s="1"/>
      <c r="B673" s="1"/>
      <c r="C673" s="1"/>
      <c r="D673" s="1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3">
      <c r="A674" s="1"/>
      <c r="B674" s="1"/>
      <c r="C674" s="1"/>
      <c r="D674" s="1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3">
      <c r="A675" s="1"/>
      <c r="B675" s="1"/>
      <c r="C675" s="1"/>
      <c r="D675" s="1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3">
      <c r="A676" s="1"/>
      <c r="B676" s="1"/>
      <c r="C676" s="1"/>
      <c r="D676" s="1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3">
      <c r="A677" s="1"/>
      <c r="B677" s="1"/>
      <c r="C677" s="1"/>
      <c r="D677" s="1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3">
      <c r="A678" s="1"/>
      <c r="B678" s="1"/>
      <c r="C678" s="1"/>
      <c r="D678" s="1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3">
      <c r="A679" s="1"/>
      <c r="B679" s="1"/>
      <c r="C679" s="1"/>
      <c r="D679" s="1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3">
      <c r="A680" s="1"/>
      <c r="B680" s="1"/>
      <c r="C680" s="1"/>
      <c r="D680" s="1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3">
      <c r="A681" s="1"/>
      <c r="B681" s="1"/>
      <c r="C681" s="1"/>
      <c r="D681" s="1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3">
      <c r="A682" s="1"/>
      <c r="B682" s="1"/>
      <c r="C682" s="1"/>
      <c r="D682" s="1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3">
      <c r="A683" s="1"/>
      <c r="B683" s="1"/>
      <c r="C683" s="1"/>
      <c r="D683" s="1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3">
      <c r="A684" s="1"/>
      <c r="B684" s="1"/>
      <c r="C684" s="1"/>
      <c r="D684" s="1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3">
      <c r="A685" s="1"/>
      <c r="B685" s="1"/>
      <c r="C685" s="1"/>
      <c r="D685" s="1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3">
      <c r="A686" s="1"/>
      <c r="B686" s="1"/>
      <c r="C686" s="1"/>
      <c r="D686" s="1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3">
      <c r="A687" s="1"/>
      <c r="B687" s="1"/>
      <c r="C687" s="1"/>
      <c r="D687" s="1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3">
      <c r="A688" s="1"/>
      <c r="B688" s="1"/>
      <c r="C688" s="1"/>
      <c r="D688" s="1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3">
      <c r="A689" s="1"/>
      <c r="B689" s="1"/>
      <c r="C689" s="1"/>
      <c r="D689" s="1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3">
      <c r="A690" s="1"/>
      <c r="B690" s="1"/>
      <c r="C690" s="1"/>
      <c r="D690" s="1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3">
      <c r="A691" s="1"/>
      <c r="B691" s="1"/>
      <c r="C691" s="1"/>
      <c r="D691" s="1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3">
      <c r="A692" s="1"/>
      <c r="B692" s="1"/>
      <c r="C692" s="1"/>
      <c r="D692" s="1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3">
      <c r="A693" s="1"/>
      <c r="B693" s="1"/>
      <c r="C693" s="1"/>
      <c r="D693" s="1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3">
      <c r="A694" s="1"/>
      <c r="B694" s="1"/>
      <c r="C694" s="1"/>
      <c r="D694" s="1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3">
      <c r="A695" s="1"/>
      <c r="B695" s="1"/>
      <c r="C695" s="1"/>
      <c r="D695" s="1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3">
      <c r="A696" s="1"/>
      <c r="B696" s="1"/>
      <c r="C696" s="1"/>
      <c r="D696" s="1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3">
      <c r="A697" s="1"/>
      <c r="B697" s="1"/>
      <c r="C697" s="1"/>
      <c r="D697" s="1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3">
      <c r="A698" s="1"/>
      <c r="B698" s="1"/>
      <c r="C698" s="1"/>
      <c r="D698" s="1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3">
      <c r="A699" s="1"/>
      <c r="B699" s="1"/>
      <c r="C699" s="1"/>
      <c r="D699" s="1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3">
      <c r="A700" s="1"/>
      <c r="B700" s="1"/>
      <c r="C700" s="1"/>
      <c r="D700" s="1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3">
      <c r="A701" s="1"/>
      <c r="B701" s="1"/>
      <c r="C701" s="1"/>
      <c r="D701" s="1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3">
      <c r="A702" s="1"/>
      <c r="B702" s="1"/>
      <c r="C702" s="1"/>
      <c r="D702" s="1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3">
      <c r="A703" s="1"/>
      <c r="B703" s="1"/>
      <c r="C703" s="1"/>
      <c r="D703" s="1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3">
      <c r="A704" s="1"/>
      <c r="B704" s="1"/>
      <c r="C704" s="1"/>
      <c r="D704" s="1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3">
      <c r="A705" s="1"/>
      <c r="B705" s="1"/>
      <c r="C705" s="1"/>
      <c r="D705" s="1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3">
      <c r="A706" s="1"/>
      <c r="B706" s="1"/>
      <c r="C706" s="1"/>
      <c r="D706" s="1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3">
      <c r="A707" s="1"/>
      <c r="B707" s="1"/>
      <c r="C707" s="1"/>
      <c r="D707" s="1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3">
      <c r="A708" s="1"/>
      <c r="B708" s="1"/>
      <c r="C708" s="1"/>
      <c r="D708" s="1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3">
      <c r="A709" s="1"/>
      <c r="B709" s="1"/>
      <c r="C709" s="1"/>
      <c r="D709" s="1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3">
      <c r="A710" s="1"/>
      <c r="B710" s="1"/>
      <c r="C710" s="1"/>
      <c r="D710" s="1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3">
      <c r="A711" s="1"/>
      <c r="B711" s="1"/>
      <c r="C711" s="1"/>
      <c r="D711" s="1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3">
      <c r="A712" s="1"/>
      <c r="B712" s="1"/>
      <c r="C712" s="1"/>
      <c r="D712" s="1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3">
      <c r="A713" s="1"/>
      <c r="B713" s="1"/>
      <c r="C713" s="1"/>
      <c r="D713" s="1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3">
      <c r="A714" s="1"/>
      <c r="B714" s="1"/>
      <c r="C714" s="1"/>
      <c r="D714" s="1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3">
      <c r="A715" s="1"/>
      <c r="B715" s="1"/>
      <c r="C715" s="1"/>
      <c r="D715" s="1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3">
      <c r="A716" s="1"/>
      <c r="B716" s="1"/>
      <c r="C716" s="1"/>
      <c r="D716" s="1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3">
      <c r="A717" s="1"/>
      <c r="B717" s="1"/>
      <c r="C717" s="1"/>
      <c r="D717" s="1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3">
      <c r="A718" s="1"/>
      <c r="B718" s="1"/>
      <c r="C718" s="1"/>
      <c r="D718" s="1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3">
      <c r="A719" s="1"/>
      <c r="B719" s="1"/>
      <c r="C719" s="1"/>
      <c r="D719" s="1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3">
      <c r="A720" s="1"/>
      <c r="B720" s="1"/>
      <c r="C720" s="1"/>
      <c r="D720" s="1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3">
      <c r="A721" s="1"/>
      <c r="B721" s="1"/>
      <c r="C721" s="1"/>
      <c r="D721" s="1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3">
      <c r="A722" s="1"/>
      <c r="B722" s="1"/>
      <c r="C722" s="1"/>
      <c r="D722" s="1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3">
      <c r="A723" s="1"/>
      <c r="B723" s="1"/>
      <c r="C723" s="1"/>
      <c r="D723" s="1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3">
      <c r="A724" s="1"/>
      <c r="B724" s="1"/>
      <c r="C724" s="1"/>
      <c r="D724" s="1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3">
      <c r="A725" s="1"/>
      <c r="B725" s="1"/>
      <c r="C725" s="1"/>
      <c r="D725" s="1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3">
      <c r="A726" s="1"/>
      <c r="B726" s="1"/>
      <c r="C726" s="1"/>
      <c r="D726" s="1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3">
      <c r="A727" s="1"/>
      <c r="B727" s="1"/>
      <c r="C727" s="1"/>
      <c r="D727" s="1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3">
      <c r="A728" s="1"/>
      <c r="B728" s="1"/>
      <c r="C728" s="1"/>
      <c r="D728" s="1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3">
      <c r="A729" s="1"/>
      <c r="B729" s="1"/>
      <c r="C729" s="1"/>
      <c r="D729" s="1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3">
      <c r="A730" s="1"/>
      <c r="B730" s="1"/>
      <c r="C730" s="1"/>
      <c r="D730" s="1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3">
      <c r="A731" s="1"/>
      <c r="B731" s="1"/>
      <c r="C731" s="1"/>
      <c r="D731" s="1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3">
      <c r="A732" s="1"/>
      <c r="B732" s="1"/>
      <c r="C732" s="1"/>
      <c r="D732" s="1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3">
      <c r="A733" s="1"/>
      <c r="B733" s="1"/>
      <c r="C733" s="1"/>
      <c r="D733" s="1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3">
      <c r="A734" s="1"/>
      <c r="B734" s="1"/>
      <c r="C734" s="1"/>
      <c r="D734" s="1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3">
      <c r="A735" s="1"/>
      <c r="B735" s="1"/>
      <c r="C735" s="1"/>
      <c r="D735" s="1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3">
      <c r="A736" s="1"/>
      <c r="B736" s="1"/>
      <c r="C736" s="1"/>
      <c r="D736" s="1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3">
      <c r="A737" s="1"/>
      <c r="B737" s="1"/>
      <c r="C737" s="1"/>
      <c r="D737" s="1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3">
      <c r="A738" s="1"/>
      <c r="B738" s="1"/>
      <c r="C738" s="1"/>
      <c r="D738" s="1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3">
      <c r="A739" s="1"/>
      <c r="B739" s="1"/>
      <c r="C739" s="1"/>
      <c r="D739" s="1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3">
      <c r="A740" s="1"/>
      <c r="B740" s="1"/>
      <c r="C740" s="1"/>
      <c r="D740" s="1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3">
      <c r="A741" s="1"/>
      <c r="B741" s="1"/>
      <c r="C741" s="1"/>
      <c r="D741" s="1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3">
      <c r="A742" s="1"/>
      <c r="B742" s="1"/>
      <c r="C742" s="1"/>
      <c r="D742" s="1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3">
      <c r="A743" s="1"/>
      <c r="B743" s="1"/>
      <c r="C743" s="1"/>
      <c r="D743" s="1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3">
      <c r="A744" s="1"/>
      <c r="B744" s="1"/>
      <c r="C744" s="1"/>
      <c r="D744" s="1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3">
      <c r="A745" s="1"/>
      <c r="B745" s="1"/>
      <c r="C745" s="1"/>
      <c r="D745" s="1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3">
      <c r="A746" s="1"/>
      <c r="B746" s="1"/>
      <c r="C746" s="1"/>
      <c r="D746" s="1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3">
      <c r="A747" s="1"/>
      <c r="B747" s="1"/>
      <c r="C747" s="1"/>
      <c r="D747" s="1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3">
      <c r="A748" s="1"/>
      <c r="B748" s="1"/>
      <c r="C748" s="1"/>
      <c r="D748" s="1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3">
      <c r="A749" s="1"/>
      <c r="B749" s="1"/>
      <c r="C749" s="1"/>
      <c r="D749" s="1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3">
      <c r="A750" s="1"/>
      <c r="B750" s="1"/>
      <c r="C750" s="1"/>
      <c r="D750" s="1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3">
      <c r="A751" s="1"/>
      <c r="B751" s="1"/>
      <c r="C751" s="1"/>
      <c r="D751" s="1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3">
      <c r="A752" s="1"/>
      <c r="B752" s="1"/>
      <c r="C752" s="1"/>
      <c r="D752" s="1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3">
      <c r="A753" s="1"/>
      <c r="B753" s="1"/>
      <c r="C753" s="1"/>
      <c r="D753" s="1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3">
      <c r="A754" s="1"/>
      <c r="B754" s="1"/>
      <c r="C754" s="1"/>
      <c r="D754" s="1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3">
      <c r="A755" s="1"/>
      <c r="B755" s="1"/>
      <c r="C755" s="1"/>
      <c r="D755" s="1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3">
      <c r="A756" s="1"/>
      <c r="B756" s="1"/>
      <c r="C756" s="1"/>
      <c r="D756" s="1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3">
      <c r="A757" s="1"/>
      <c r="B757" s="1"/>
      <c r="C757" s="1"/>
      <c r="D757" s="1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3">
      <c r="A758" s="1"/>
      <c r="B758" s="1"/>
      <c r="C758" s="1"/>
      <c r="D758" s="1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3">
      <c r="A759" s="1"/>
      <c r="B759" s="1"/>
      <c r="C759" s="1"/>
      <c r="D759" s="1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3">
      <c r="A760" s="1"/>
      <c r="B760" s="1"/>
      <c r="C760" s="1"/>
      <c r="D760" s="1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3">
      <c r="A761" s="1"/>
      <c r="B761" s="1"/>
      <c r="C761" s="1"/>
      <c r="D761" s="1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3">
      <c r="A762" s="1"/>
      <c r="B762" s="1"/>
      <c r="C762" s="1"/>
      <c r="D762" s="1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3">
      <c r="A763" s="1"/>
      <c r="B763" s="1"/>
      <c r="C763" s="1"/>
      <c r="D763" s="1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3">
      <c r="A764" s="1"/>
      <c r="B764" s="1"/>
      <c r="C764" s="1"/>
      <c r="D764" s="1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3">
      <c r="A765" s="1"/>
      <c r="B765" s="1"/>
      <c r="C765" s="1"/>
      <c r="D765" s="1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3">
      <c r="A766" s="1"/>
      <c r="B766" s="1"/>
      <c r="C766" s="1"/>
      <c r="D766" s="1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3">
      <c r="A767" s="1"/>
      <c r="B767" s="1"/>
      <c r="C767" s="1"/>
      <c r="D767" s="1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3">
      <c r="A768" s="1"/>
      <c r="B768" s="1"/>
      <c r="C768" s="1"/>
      <c r="D768" s="1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3">
      <c r="A769" s="1"/>
      <c r="B769" s="1"/>
      <c r="C769" s="1"/>
      <c r="D769" s="1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3">
      <c r="A770" s="1"/>
      <c r="B770" s="1"/>
      <c r="C770" s="1"/>
      <c r="D770" s="1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3">
      <c r="A771" s="1"/>
      <c r="B771" s="1"/>
      <c r="C771" s="1"/>
      <c r="D771" s="1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3">
      <c r="A772" s="1"/>
      <c r="B772" s="1"/>
      <c r="C772" s="1"/>
      <c r="D772" s="1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3">
      <c r="A773" s="1"/>
      <c r="B773" s="1"/>
      <c r="C773" s="1"/>
      <c r="D773" s="1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3">
      <c r="A774" s="1"/>
      <c r="B774" s="1"/>
      <c r="C774" s="1"/>
      <c r="D774" s="1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3">
      <c r="A775" s="1"/>
      <c r="B775" s="1"/>
      <c r="C775" s="1"/>
      <c r="D775" s="1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3">
      <c r="A776" s="1"/>
      <c r="B776" s="1"/>
      <c r="C776" s="1"/>
      <c r="D776" s="1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3">
      <c r="A777" s="1"/>
      <c r="B777" s="1"/>
      <c r="C777" s="1"/>
      <c r="D777" s="1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3">
      <c r="A778" s="1"/>
      <c r="B778" s="1"/>
      <c r="C778" s="1"/>
      <c r="D778" s="1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3">
      <c r="A779" s="1"/>
      <c r="B779" s="1"/>
      <c r="C779" s="1"/>
      <c r="D779" s="1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3">
      <c r="A780" s="1"/>
      <c r="B780" s="1"/>
      <c r="C780" s="1"/>
      <c r="D780" s="1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3">
      <c r="A781" s="1"/>
      <c r="B781" s="1"/>
      <c r="C781" s="1"/>
      <c r="D781" s="1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3">
      <c r="A782" s="1"/>
      <c r="B782" s="1"/>
      <c r="C782" s="1"/>
      <c r="D782" s="1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3">
      <c r="A783" s="1"/>
      <c r="B783" s="1"/>
      <c r="C783" s="1"/>
      <c r="D783" s="1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3">
      <c r="A784" s="1"/>
      <c r="B784" s="1"/>
      <c r="C784" s="1"/>
      <c r="D784" s="1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3">
      <c r="A785" s="1"/>
      <c r="B785" s="1"/>
      <c r="C785" s="1"/>
      <c r="D785" s="1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3">
      <c r="A786" s="1"/>
      <c r="B786" s="1"/>
      <c r="C786" s="1"/>
      <c r="D786" s="1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3">
      <c r="A787" s="1"/>
      <c r="B787" s="1"/>
      <c r="C787" s="1"/>
      <c r="D787" s="1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3">
      <c r="A788" s="1"/>
      <c r="B788" s="1"/>
      <c r="C788" s="1"/>
      <c r="D788" s="1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3">
      <c r="A789" s="1"/>
      <c r="B789" s="1"/>
      <c r="C789" s="1"/>
      <c r="D789" s="1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3">
      <c r="A790" s="1"/>
      <c r="B790" s="1"/>
      <c r="C790" s="1"/>
      <c r="D790" s="1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3">
      <c r="A791" s="1"/>
      <c r="B791" s="1"/>
      <c r="C791" s="1"/>
      <c r="D791" s="1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3">
      <c r="A792" s="1"/>
      <c r="B792" s="1"/>
      <c r="C792" s="1"/>
      <c r="D792" s="1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3">
      <c r="A793" s="1"/>
      <c r="B793" s="1"/>
      <c r="C793" s="1"/>
      <c r="D793" s="1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3">
      <c r="A794" s="1"/>
      <c r="B794" s="1"/>
      <c r="C794" s="1"/>
      <c r="D794" s="1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3">
      <c r="A795" s="1"/>
      <c r="B795" s="1"/>
      <c r="C795" s="1"/>
      <c r="D795" s="1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3">
      <c r="A796" s="1"/>
      <c r="B796" s="1"/>
      <c r="C796" s="1"/>
      <c r="D796" s="1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3">
      <c r="A797" s="1"/>
      <c r="B797" s="1"/>
      <c r="C797" s="1"/>
      <c r="D797" s="1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3">
      <c r="A798" s="1"/>
      <c r="B798" s="1"/>
      <c r="C798" s="1"/>
      <c r="D798" s="1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3">
      <c r="A799" s="1"/>
      <c r="B799" s="1"/>
      <c r="C799" s="1"/>
      <c r="D799" s="1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3">
      <c r="A800" s="1"/>
      <c r="B800" s="1"/>
      <c r="C800" s="1"/>
      <c r="D800" s="1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3">
      <c r="A801" s="1"/>
      <c r="B801" s="1"/>
      <c r="C801" s="1"/>
      <c r="D801" s="1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3">
      <c r="A802" s="1"/>
      <c r="B802" s="1"/>
      <c r="C802" s="1"/>
      <c r="D802" s="1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3">
      <c r="A803" s="1"/>
      <c r="B803" s="1"/>
      <c r="C803" s="1"/>
      <c r="D803" s="1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3">
      <c r="A804" s="1"/>
      <c r="B804" s="1"/>
      <c r="C804" s="1"/>
      <c r="D804" s="1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3">
      <c r="A805" s="1"/>
      <c r="B805" s="1"/>
      <c r="C805" s="1"/>
      <c r="D805" s="1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3">
      <c r="A806" s="1"/>
      <c r="B806" s="1"/>
      <c r="C806" s="1"/>
      <c r="D806" s="1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3">
      <c r="A807" s="1"/>
      <c r="B807" s="1"/>
      <c r="C807" s="1"/>
      <c r="D807" s="1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3">
      <c r="A808" s="1"/>
      <c r="B808" s="1"/>
      <c r="C808" s="1"/>
      <c r="D808" s="1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3">
      <c r="A809" s="1"/>
      <c r="B809" s="1"/>
      <c r="C809" s="1"/>
      <c r="D809" s="1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3">
      <c r="A810" s="1"/>
      <c r="B810" s="1"/>
      <c r="C810" s="1"/>
      <c r="D810" s="1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3">
      <c r="A811" s="1"/>
      <c r="B811" s="1"/>
      <c r="C811" s="1"/>
      <c r="D811" s="1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3">
      <c r="A812" s="1"/>
      <c r="B812" s="1"/>
      <c r="C812" s="1"/>
      <c r="D812" s="1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3">
      <c r="A813" s="1"/>
      <c r="B813" s="1"/>
      <c r="C813" s="1"/>
      <c r="D813" s="1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3">
      <c r="A814" s="1"/>
      <c r="B814" s="1"/>
      <c r="C814" s="1"/>
      <c r="D814" s="1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3">
      <c r="A815" s="1"/>
      <c r="B815" s="1"/>
      <c r="C815" s="1"/>
      <c r="D815" s="1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3">
      <c r="A816" s="1"/>
      <c r="B816" s="1"/>
      <c r="C816" s="1"/>
      <c r="D816" s="1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3">
      <c r="A817" s="1"/>
      <c r="B817" s="1"/>
      <c r="C817" s="1"/>
      <c r="D817" s="1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3">
      <c r="A818" s="1"/>
      <c r="B818" s="1"/>
      <c r="C818" s="1"/>
      <c r="D818" s="1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3">
      <c r="A819" s="1"/>
      <c r="B819" s="1"/>
      <c r="C819" s="1"/>
      <c r="D819" s="1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3">
      <c r="A820" s="1"/>
      <c r="B820" s="1"/>
      <c r="C820" s="1"/>
      <c r="D820" s="1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3">
      <c r="A821" s="1"/>
      <c r="B821" s="1"/>
      <c r="C821" s="1"/>
      <c r="D821" s="1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3">
      <c r="A822" s="1"/>
      <c r="B822" s="1"/>
      <c r="C822" s="1"/>
      <c r="D822" s="1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3">
      <c r="A823" s="1"/>
      <c r="B823" s="1"/>
      <c r="C823" s="1"/>
      <c r="D823" s="1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3">
      <c r="A824" s="1"/>
      <c r="B824" s="1"/>
      <c r="C824" s="1"/>
      <c r="D824" s="1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3">
      <c r="A825" s="1"/>
      <c r="B825" s="1"/>
      <c r="C825" s="1"/>
      <c r="D825" s="1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3">
      <c r="A826" s="1"/>
      <c r="B826" s="1"/>
      <c r="C826" s="1"/>
      <c r="D826" s="1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3">
      <c r="A827" s="1"/>
      <c r="B827" s="1"/>
      <c r="C827" s="1"/>
      <c r="D827" s="1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3">
      <c r="A828" s="1"/>
      <c r="B828" s="1"/>
      <c r="C828" s="1"/>
      <c r="D828" s="1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3">
      <c r="A829" s="1"/>
      <c r="B829" s="1"/>
      <c r="C829" s="1"/>
      <c r="D829" s="1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3">
      <c r="A830" s="1"/>
      <c r="B830" s="1"/>
      <c r="C830" s="1"/>
      <c r="D830" s="1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3">
      <c r="A831" s="1"/>
      <c r="B831" s="1"/>
      <c r="C831" s="1"/>
      <c r="D831" s="1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3">
      <c r="A832" s="1"/>
      <c r="B832" s="1"/>
      <c r="C832" s="1"/>
      <c r="D832" s="1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3">
      <c r="A833" s="1"/>
      <c r="B833" s="1"/>
      <c r="C833" s="1"/>
      <c r="D833" s="1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3">
      <c r="A834" s="1"/>
      <c r="B834" s="1"/>
      <c r="C834" s="1"/>
      <c r="D834" s="1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3">
      <c r="A835" s="1"/>
      <c r="B835" s="1"/>
      <c r="C835" s="1"/>
      <c r="D835" s="1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3">
      <c r="A836" s="1"/>
      <c r="B836" s="1"/>
      <c r="C836" s="1"/>
      <c r="D836" s="1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3">
      <c r="A837" s="1"/>
      <c r="B837" s="1"/>
      <c r="C837" s="1"/>
      <c r="D837" s="1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3">
      <c r="A838" s="1"/>
      <c r="B838" s="1"/>
      <c r="C838" s="1"/>
      <c r="D838" s="1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3">
      <c r="A839" s="1"/>
      <c r="B839" s="1"/>
      <c r="C839" s="1"/>
      <c r="D839" s="1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3">
      <c r="A840" s="1"/>
      <c r="B840" s="1"/>
      <c r="C840" s="1"/>
      <c r="D840" s="1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3">
      <c r="A841" s="1"/>
      <c r="B841" s="1"/>
      <c r="C841" s="1"/>
      <c r="D841" s="1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3">
      <c r="A842" s="1"/>
      <c r="B842" s="1"/>
      <c r="C842" s="1"/>
      <c r="D842" s="1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3">
      <c r="A843" s="1"/>
      <c r="B843" s="1"/>
      <c r="C843" s="1"/>
      <c r="D843" s="1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3">
      <c r="A844" s="1"/>
      <c r="B844" s="1"/>
      <c r="C844" s="1"/>
      <c r="D844" s="1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3">
      <c r="A845" s="1"/>
      <c r="B845" s="1"/>
      <c r="C845" s="1"/>
      <c r="D845" s="1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3">
      <c r="A846" s="1"/>
      <c r="B846" s="1"/>
      <c r="C846" s="1"/>
      <c r="D846" s="1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3">
      <c r="A847" s="1"/>
      <c r="B847" s="1"/>
      <c r="C847" s="1"/>
      <c r="D847" s="1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3">
      <c r="A848" s="1"/>
      <c r="B848" s="1"/>
      <c r="C848" s="1"/>
      <c r="D848" s="1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3">
      <c r="A849" s="1"/>
      <c r="B849" s="1"/>
      <c r="C849" s="1"/>
      <c r="D849" s="1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3">
      <c r="A850" s="1"/>
      <c r="B850" s="1"/>
      <c r="C850" s="1"/>
      <c r="D850" s="1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3">
      <c r="A851" s="1"/>
      <c r="B851" s="1"/>
      <c r="C851" s="1"/>
      <c r="D851" s="1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3">
      <c r="A852" s="1"/>
      <c r="B852" s="1"/>
      <c r="C852" s="1"/>
      <c r="D852" s="1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3">
      <c r="A853" s="1"/>
      <c r="B853" s="1"/>
      <c r="C853" s="1"/>
      <c r="D853" s="1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3">
      <c r="A854" s="1"/>
      <c r="B854" s="1"/>
      <c r="C854" s="1"/>
      <c r="D854" s="1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3">
      <c r="A855" s="1"/>
      <c r="B855" s="1"/>
      <c r="C855" s="1"/>
      <c r="D855" s="1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3">
      <c r="A856" s="1"/>
      <c r="B856" s="1"/>
      <c r="C856" s="1"/>
      <c r="D856" s="1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3">
      <c r="A857" s="1"/>
      <c r="B857" s="1"/>
      <c r="C857" s="1"/>
      <c r="D857" s="1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3">
      <c r="A858" s="1"/>
      <c r="B858" s="1"/>
      <c r="C858" s="1"/>
      <c r="D858" s="1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3">
      <c r="A859" s="1"/>
      <c r="B859" s="1"/>
      <c r="C859" s="1"/>
      <c r="D859" s="1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3">
      <c r="A860" s="1"/>
      <c r="B860" s="1"/>
      <c r="C860" s="1"/>
      <c r="D860" s="1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3">
      <c r="A861" s="1"/>
      <c r="B861" s="1"/>
      <c r="C861" s="1"/>
      <c r="D861" s="1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3">
      <c r="A862" s="1"/>
      <c r="B862" s="1"/>
      <c r="C862" s="1"/>
      <c r="D862" s="1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3">
      <c r="A863" s="1"/>
      <c r="B863" s="1"/>
      <c r="C863" s="1"/>
      <c r="D863" s="1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3">
      <c r="A864" s="1"/>
      <c r="B864" s="1"/>
      <c r="C864" s="1"/>
      <c r="D864" s="1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3">
      <c r="A865" s="1"/>
      <c r="B865" s="1"/>
      <c r="C865" s="1"/>
      <c r="D865" s="1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3">
      <c r="A866" s="1"/>
      <c r="B866" s="1"/>
      <c r="C866" s="1"/>
      <c r="D866" s="1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3">
      <c r="A867" s="1"/>
      <c r="B867" s="1"/>
      <c r="C867" s="1"/>
      <c r="D867" s="1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3">
      <c r="A868" s="1"/>
      <c r="B868" s="1"/>
      <c r="C868" s="1"/>
      <c r="D868" s="1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3">
      <c r="A869" s="1"/>
      <c r="B869" s="1"/>
      <c r="C869" s="1"/>
      <c r="D869" s="1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3">
      <c r="A870" s="1"/>
      <c r="B870" s="1"/>
      <c r="C870" s="1"/>
      <c r="D870" s="1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3">
      <c r="A871" s="1"/>
      <c r="B871" s="1"/>
      <c r="C871" s="1"/>
      <c r="D871" s="1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3">
      <c r="A872" s="1"/>
      <c r="B872" s="1"/>
      <c r="C872" s="1"/>
      <c r="D872" s="1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3">
      <c r="A873" s="1"/>
      <c r="B873" s="1"/>
      <c r="C873" s="1"/>
      <c r="D873" s="1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3">
      <c r="A874" s="1"/>
      <c r="B874" s="1"/>
      <c r="C874" s="1"/>
      <c r="D874" s="1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3">
      <c r="A875" s="1"/>
      <c r="B875" s="1"/>
      <c r="C875" s="1"/>
      <c r="D875" s="1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3">
      <c r="A876" s="1"/>
      <c r="B876" s="1"/>
      <c r="C876" s="1"/>
      <c r="D876" s="1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3">
      <c r="A877" s="1"/>
      <c r="B877" s="1"/>
      <c r="C877" s="1"/>
      <c r="D877" s="1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3">
      <c r="A878" s="1"/>
      <c r="B878" s="1"/>
      <c r="C878" s="1"/>
      <c r="D878" s="1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3">
      <c r="A879" s="1"/>
      <c r="B879" s="1"/>
      <c r="C879" s="1"/>
      <c r="D879" s="1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3">
      <c r="A880" s="1"/>
      <c r="B880" s="1"/>
      <c r="C880" s="1"/>
      <c r="D880" s="1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3">
      <c r="A881" s="1"/>
      <c r="B881" s="1"/>
      <c r="C881" s="1"/>
      <c r="D881" s="1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3">
      <c r="A882" s="1"/>
      <c r="B882" s="1"/>
      <c r="C882" s="1"/>
      <c r="D882" s="1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3">
      <c r="A883" s="1"/>
      <c r="B883" s="1"/>
      <c r="C883" s="1"/>
      <c r="D883" s="1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3">
      <c r="A884" s="1"/>
      <c r="B884" s="1"/>
      <c r="C884" s="1"/>
      <c r="D884" s="1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3">
      <c r="A885" s="1"/>
      <c r="B885" s="1"/>
      <c r="C885" s="1"/>
      <c r="D885" s="1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3">
      <c r="A886" s="1"/>
      <c r="B886" s="1"/>
      <c r="C886" s="1"/>
      <c r="D886" s="1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3">
      <c r="A887" s="1"/>
      <c r="B887" s="1"/>
      <c r="C887" s="1"/>
      <c r="D887" s="1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3">
      <c r="A888" s="1"/>
      <c r="B888" s="1"/>
      <c r="C888" s="1"/>
      <c r="D888" s="1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3">
      <c r="A889" s="1"/>
      <c r="B889" s="1"/>
      <c r="C889" s="1"/>
      <c r="D889" s="1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3">
      <c r="A890" s="1"/>
      <c r="B890" s="1"/>
      <c r="C890" s="1"/>
      <c r="D890" s="1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3">
      <c r="A891" s="1"/>
      <c r="B891" s="1"/>
      <c r="C891" s="1"/>
      <c r="D891" s="1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3">
      <c r="A892" s="1"/>
      <c r="B892" s="1"/>
      <c r="C892" s="1"/>
      <c r="D892" s="1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3">
      <c r="A893" s="1"/>
      <c r="B893" s="1"/>
      <c r="C893" s="1"/>
      <c r="D893" s="1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3">
      <c r="A894" s="1"/>
      <c r="B894" s="1"/>
      <c r="C894" s="1"/>
      <c r="D894" s="1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3">
      <c r="A895" s="1"/>
      <c r="B895" s="1"/>
      <c r="C895" s="1"/>
      <c r="D895" s="1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3">
      <c r="A896" s="1"/>
      <c r="B896" s="1"/>
      <c r="C896" s="1"/>
      <c r="D896" s="1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3">
      <c r="A897" s="1"/>
      <c r="B897" s="1"/>
      <c r="C897" s="1"/>
      <c r="D897" s="1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3">
      <c r="A898" s="1"/>
      <c r="B898" s="1"/>
      <c r="C898" s="1"/>
      <c r="D898" s="1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3">
      <c r="A899" s="1"/>
      <c r="B899" s="1"/>
      <c r="C899" s="1"/>
      <c r="D899" s="1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3">
      <c r="A900" s="1"/>
      <c r="B900" s="1"/>
      <c r="C900" s="1"/>
      <c r="D900" s="1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3">
      <c r="A901" s="1"/>
      <c r="B901" s="1"/>
      <c r="C901" s="1"/>
      <c r="D901" s="1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3">
      <c r="A902" s="1"/>
      <c r="B902" s="1"/>
      <c r="C902" s="1"/>
      <c r="D902" s="1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3">
      <c r="A903" s="1"/>
      <c r="B903" s="1"/>
      <c r="C903" s="1"/>
      <c r="D903" s="1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3">
      <c r="A904" s="1"/>
      <c r="B904" s="1"/>
      <c r="C904" s="1"/>
      <c r="D904" s="1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3">
      <c r="A905" s="1"/>
      <c r="B905" s="1"/>
      <c r="C905" s="1"/>
      <c r="D905" s="1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3">
      <c r="A906" s="1"/>
      <c r="B906" s="1"/>
      <c r="C906" s="1"/>
      <c r="D906" s="1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3">
      <c r="A907" s="1"/>
      <c r="B907" s="1"/>
      <c r="C907" s="1"/>
      <c r="D907" s="1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3">
      <c r="A908" s="1"/>
      <c r="B908" s="1"/>
      <c r="C908" s="1"/>
      <c r="D908" s="1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3">
      <c r="A909" s="1"/>
      <c r="B909" s="1"/>
      <c r="C909" s="1"/>
      <c r="D909" s="1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3">
      <c r="A910" s="1"/>
      <c r="B910" s="1"/>
      <c r="C910" s="1"/>
      <c r="D910" s="1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3">
      <c r="A911" s="1"/>
      <c r="B911" s="1"/>
      <c r="C911" s="1"/>
      <c r="D911" s="1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3">
      <c r="A912" s="1"/>
      <c r="B912" s="1"/>
      <c r="C912" s="1"/>
      <c r="D912" s="1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3">
      <c r="A913" s="1"/>
      <c r="B913" s="1"/>
      <c r="C913" s="1"/>
      <c r="D913" s="1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3">
      <c r="A914" s="1"/>
      <c r="B914" s="1"/>
      <c r="C914" s="1"/>
      <c r="D914" s="1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3">
      <c r="A915" s="1"/>
      <c r="B915" s="1"/>
      <c r="C915" s="1"/>
      <c r="D915" s="1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3">
      <c r="A916" s="1"/>
      <c r="B916" s="1"/>
      <c r="C916" s="1"/>
      <c r="D916" s="1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3">
      <c r="A917" s="1"/>
      <c r="B917" s="1"/>
      <c r="C917" s="1"/>
      <c r="D917" s="1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3">
      <c r="A918" s="1"/>
      <c r="B918" s="1"/>
      <c r="C918" s="1"/>
      <c r="D918" s="1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3">
      <c r="A919" s="1"/>
      <c r="B919" s="1"/>
      <c r="C919" s="1"/>
      <c r="D919" s="1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3">
      <c r="A920" s="1"/>
      <c r="B920" s="1"/>
      <c r="C920" s="1"/>
      <c r="D920" s="1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3">
      <c r="A921" s="1"/>
      <c r="B921" s="1"/>
      <c r="C921" s="1"/>
      <c r="D921" s="1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3">
      <c r="A922" s="1"/>
      <c r="B922" s="1"/>
      <c r="C922" s="1"/>
      <c r="D922" s="1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3">
      <c r="A923" s="1"/>
      <c r="B923" s="1"/>
      <c r="C923" s="1"/>
      <c r="D923" s="1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3">
      <c r="A924" s="1"/>
      <c r="B924" s="1"/>
      <c r="C924" s="1"/>
      <c r="D924" s="1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3">
      <c r="A925" s="1"/>
      <c r="B925" s="1"/>
      <c r="C925" s="1"/>
      <c r="D925" s="1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3">
      <c r="A926" s="1"/>
      <c r="B926" s="1"/>
      <c r="C926" s="1"/>
      <c r="D926" s="1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3">
      <c r="A927" s="1"/>
      <c r="B927" s="1"/>
      <c r="C927" s="1"/>
      <c r="D927" s="1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3">
      <c r="A928" s="1"/>
      <c r="B928" s="1"/>
      <c r="C928" s="1"/>
      <c r="D928" s="1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3">
      <c r="A929" s="1"/>
      <c r="B929" s="1"/>
      <c r="C929" s="1"/>
      <c r="D929" s="1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3">
      <c r="A930" s="1"/>
      <c r="B930" s="1"/>
      <c r="C930" s="1"/>
      <c r="D930" s="1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3">
      <c r="A931" s="1"/>
      <c r="B931" s="1"/>
      <c r="C931" s="1"/>
      <c r="D931" s="1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3">
      <c r="A932" s="1"/>
      <c r="B932" s="1"/>
      <c r="C932" s="1"/>
      <c r="D932" s="1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3">
      <c r="A933" s="1"/>
      <c r="B933" s="1"/>
      <c r="C933" s="1"/>
      <c r="D933" s="1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3">
      <c r="A934" s="1"/>
      <c r="B934" s="1"/>
      <c r="C934" s="1"/>
      <c r="D934" s="1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3">
      <c r="A935" s="1"/>
      <c r="B935" s="1"/>
      <c r="C935" s="1"/>
      <c r="D935" s="1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3">
      <c r="A936" s="1"/>
      <c r="B936" s="1"/>
      <c r="C936" s="1"/>
      <c r="D936" s="1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3">
      <c r="A937" s="1"/>
      <c r="B937" s="1"/>
      <c r="C937" s="1"/>
      <c r="D937" s="1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3">
      <c r="A938" s="1"/>
      <c r="B938" s="1"/>
      <c r="C938" s="1"/>
      <c r="D938" s="1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3">
      <c r="A939" s="1"/>
      <c r="B939" s="1"/>
      <c r="C939" s="1"/>
      <c r="D939" s="1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3">
      <c r="A940" s="1"/>
      <c r="B940" s="1"/>
      <c r="C940" s="1"/>
      <c r="D940" s="1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3">
      <c r="A941" s="1"/>
      <c r="B941" s="1"/>
      <c r="C941" s="1"/>
      <c r="D941" s="1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3">
      <c r="A942" s="1"/>
      <c r="B942" s="1"/>
      <c r="C942" s="1"/>
      <c r="D942" s="1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3">
      <c r="A943" s="1"/>
      <c r="B943" s="1"/>
      <c r="C943" s="1"/>
      <c r="D943" s="1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3">
      <c r="A944" s="1"/>
      <c r="B944" s="1"/>
      <c r="C944" s="1"/>
      <c r="D944" s="1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3">
      <c r="A945" s="1"/>
      <c r="B945" s="1"/>
      <c r="C945" s="1"/>
      <c r="D945" s="1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3">
      <c r="A946" s="1"/>
      <c r="B946" s="1"/>
      <c r="C946" s="1"/>
      <c r="D946" s="1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3">
      <c r="A947" s="1"/>
      <c r="B947" s="1"/>
      <c r="C947" s="1"/>
      <c r="D947" s="1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3">
      <c r="A948" s="1"/>
      <c r="B948" s="1"/>
      <c r="C948" s="1"/>
      <c r="D948" s="1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3">
      <c r="A949" s="1"/>
      <c r="B949" s="1"/>
      <c r="C949" s="1"/>
      <c r="D949" s="1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3">
      <c r="A950" s="1"/>
      <c r="B950" s="1"/>
      <c r="C950" s="1"/>
      <c r="D950" s="1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3">
      <c r="A951" s="1"/>
      <c r="B951" s="1"/>
      <c r="C951" s="1"/>
      <c r="D951" s="1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3">
      <c r="A952" s="1"/>
      <c r="B952" s="1"/>
      <c r="C952" s="1"/>
      <c r="D952" s="1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3">
      <c r="A953" s="1"/>
      <c r="B953" s="1"/>
      <c r="C953" s="1"/>
      <c r="D953" s="1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3">
      <c r="A954" s="1"/>
      <c r="B954" s="1"/>
      <c r="C954" s="1"/>
      <c r="D954" s="1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3">
      <c r="A955" s="1"/>
      <c r="B955" s="1"/>
      <c r="C955" s="1"/>
      <c r="D955" s="1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3">
      <c r="A956" s="1"/>
      <c r="B956" s="1"/>
      <c r="C956" s="1"/>
      <c r="D956" s="1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3">
      <c r="A957" s="1"/>
      <c r="B957" s="1"/>
      <c r="C957" s="1"/>
      <c r="D957" s="1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3">
      <c r="A958" s="1"/>
      <c r="B958" s="1"/>
      <c r="C958" s="1"/>
      <c r="D958" s="1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3">
      <c r="A959" s="1"/>
      <c r="B959" s="1"/>
      <c r="C959" s="1"/>
      <c r="D959" s="1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3">
      <c r="A960" s="1"/>
      <c r="B960" s="1"/>
      <c r="C960" s="1"/>
      <c r="D960" s="1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3">
      <c r="A961" s="1"/>
      <c r="B961" s="1"/>
      <c r="C961" s="1"/>
      <c r="D961" s="1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3">
      <c r="A962" s="1"/>
      <c r="B962" s="1"/>
      <c r="C962" s="1"/>
      <c r="D962" s="1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3">
      <c r="A963" s="1"/>
      <c r="B963" s="1"/>
      <c r="C963" s="1"/>
      <c r="D963" s="1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3">
      <c r="A964" s="1"/>
      <c r="B964" s="1"/>
      <c r="C964" s="1"/>
      <c r="D964" s="1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3">
      <c r="A965" s="1"/>
      <c r="B965" s="1"/>
      <c r="C965" s="1"/>
      <c r="D965" s="1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3">
      <c r="A966" s="1"/>
      <c r="B966" s="1"/>
      <c r="C966" s="1"/>
      <c r="D966" s="1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3">
      <c r="A967" s="1"/>
      <c r="B967" s="1"/>
      <c r="C967" s="1"/>
      <c r="D967" s="1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3">
      <c r="A968" s="1"/>
      <c r="B968" s="1"/>
      <c r="C968" s="1"/>
      <c r="D968" s="1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3">
      <c r="A969" s="1"/>
      <c r="B969" s="1"/>
      <c r="C969" s="1"/>
      <c r="D969" s="1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3">
      <c r="A970" s="1"/>
      <c r="B970" s="1"/>
      <c r="C970" s="1"/>
      <c r="D970" s="1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3">
      <c r="A971" s="1"/>
      <c r="B971" s="1"/>
      <c r="C971" s="1"/>
      <c r="D971" s="1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3">
      <c r="A972" s="1"/>
      <c r="B972" s="1"/>
      <c r="C972" s="1"/>
      <c r="D972" s="1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3">
      <c r="A973" s="1"/>
      <c r="B973" s="1"/>
      <c r="C973" s="1"/>
      <c r="D973" s="1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3">
      <c r="A974" s="1"/>
      <c r="B974" s="1"/>
      <c r="C974" s="1"/>
      <c r="D974" s="1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3">
      <c r="A975" s="1"/>
      <c r="B975" s="1"/>
      <c r="C975" s="1"/>
      <c r="D975" s="1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3">
      <c r="A976" s="1"/>
      <c r="B976" s="1"/>
      <c r="C976" s="1"/>
      <c r="D976" s="1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3">
      <c r="A977" s="1"/>
      <c r="B977" s="1"/>
      <c r="C977" s="1"/>
      <c r="D977" s="1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3">
      <c r="A978" s="1"/>
      <c r="B978" s="1"/>
      <c r="C978" s="1"/>
      <c r="D978" s="1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3">
      <c r="A979" s="1"/>
      <c r="B979" s="1"/>
      <c r="C979" s="1"/>
      <c r="D979" s="1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3">
      <c r="A980" s="1"/>
      <c r="B980" s="1"/>
      <c r="C980" s="1"/>
      <c r="D980" s="1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3">
      <c r="A981" s="1"/>
      <c r="B981" s="1"/>
      <c r="C981" s="1"/>
      <c r="D981" s="1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3">
      <c r="A982" s="1"/>
      <c r="B982" s="1"/>
      <c r="C982" s="1"/>
      <c r="D982" s="1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3">
      <c r="A983" s="1"/>
      <c r="B983" s="1"/>
      <c r="C983" s="1"/>
      <c r="D983" s="1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3">
      <c r="A984" s="1"/>
      <c r="B984" s="1"/>
      <c r="C984" s="1"/>
      <c r="D984" s="1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3">
      <c r="A985" s="1"/>
      <c r="B985" s="1"/>
      <c r="C985" s="1"/>
      <c r="D985" s="1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3">
      <c r="A986" s="1"/>
      <c r="B986" s="1"/>
      <c r="C986" s="1"/>
      <c r="D986" s="1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3">
      <c r="A987" s="1"/>
      <c r="B987" s="1"/>
      <c r="C987" s="1"/>
      <c r="D987" s="1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3">
      <c r="A988" s="1"/>
      <c r="B988" s="1"/>
      <c r="C988" s="1"/>
      <c r="D988" s="1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3">
      <c r="A989" s="1"/>
      <c r="B989" s="1"/>
      <c r="C989" s="1"/>
      <c r="D989" s="1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3">
      <c r="A990" s="1"/>
      <c r="B990" s="1"/>
      <c r="C990" s="1"/>
      <c r="D990" s="1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3">
      <c r="A991" s="1"/>
      <c r="B991" s="1"/>
      <c r="C991" s="1"/>
      <c r="D991" s="1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3">
      <c r="A992" s="1"/>
      <c r="B992" s="1"/>
      <c r="C992" s="1"/>
      <c r="D992" s="1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3">
      <c r="A993" s="1"/>
      <c r="B993" s="1"/>
      <c r="C993" s="1"/>
      <c r="D993" s="1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3">
      <c r="A994" s="1"/>
      <c r="B994" s="1"/>
      <c r="C994" s="1"/>
      <c r="D994" s="1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3">
      <c r="A995" s="1"/>
      <c r="B995" s="1"/>
      <c r="C995" s="1"/>
      <c r="D995" s="1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3">
      <c r="A996" s="1"/>
      <c r="B996" s="1"/>
      <c r="C996" s="1"/>
      <c r="D996" s="1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3">
      <c r="A997" s="1"/>
      <c r="B997" s="1"/>
      <c r="C997" s="1"/>
      <c r="D997" s="1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3">
      <c r="A998" s="1"/>
      <c r="B998" s="1"/>
      <c r="C998" s="1"/>
      <c r="D998" s="1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autoFilter ref="A3:R148" xr:uid="{00000000-0009-0000-0000-000001000000}"/>
  <mergeCells count="3">
    <mergeCell ref="A1:Z1"/>
    <mergeCell ref="D2:I2"/>
    <mergeCell ref="T3:Y3"/>
  </mergeCells>
  <conditionalFormatting sqref="A5:Z23">
    <cfRule type="expression" dxfId="18" priority="2">
      <formula>LEN(TRIM(A5))&gt;0</formula>
    </cfRule>
  </conditionalFormatting>
  <dataValidations count="2">
    <dataValidation type="list" allowBlank="1" showErrorMessage="1" sqref="R5:R23 R25:R30 R32:R33 R35:R43 R45:R57 R59:R73 R75:R88 R90:R127 R129:R142 R144:R148" xr:uid="{00000000-0002-0000-0100-000000000000}">
      <formula1>"Quy ước,Cần kiểm chứng/báo giá,Cần xác nhận,Đã xác nhận,Đã kiểm chứng và báo giá"</formula1>
      <formula2>0</formula2>
    </dataValidation>
    <dataValidation type="list" allowBlank="1" showErrorMessage="1" sqref="R31" xr:uid="{00000000-0002-0000-0100-000001000000}">
      <formula1>"Quy ước,Cần kiểm chứng/báo giá,Cần xác nhận,Đã xác nhận,Đã kiểm chứng và báo giá,Tham chiếu DIA+"</formula1>
      <formula2>0</formula2>
    </dataValidation>
  </dataValidations>
  <hyperlinks>
    <hyperlink ref="Q134" r:id="rId1" xr:uid="{00000000-0004-0000-0100-000000000000}"/>
    <hyperlink ref="Q140" r:id="rId2" xr:uid="{00000000-0004-0000-0100-000001000000}"/>
  </hyperlinks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showGridLines="0" topLeftCell="C1" zoomScale="77" zoomScaleNormal="77" workbookViewId="0"/>
  </sheetViews>
  <sheetFormatPr defaultColWidth="12.5703125" defaultRowHeight="15" x14ac:dyDescent="0.25"/>
  <cols>
    <col min="1" max="1" width="77.42578125" customWidth="1"/>
    <col min="2" max="2" width="21.28515625" customWidth="1"/>
    <col min="3" max="3" width="27" customWidth="1"/>
    <col min="4" max="4" width="25.85546875" customWidth="1"/>
    <col min="5" max="5" width="27.85546875" customWidth="1"/>
    <col min="6" max="6" width="28.7109375" customWidth="1"/>
    <col min="7" max="7" width="29.85546875" customWidth="1"/>
    <col min="8" max="8" width="18.7109375" customWidth="1"/>
    <col min="9" max="9" width="29.5703125" customWidth="1"/>
    <col min="10" max="10" width="11.7109375" customWidth="1"/>
    <col min="11" max="11" width="82.42578125" customWidth="1"/>
    <col min="12" max="26" width="8.5703125" customWidth="1"/>
  </cols>
  <sheetData>
    <row r="1" spans="1:26" ht="24" customHeight="1" x14ac:dyDescent="0.3">
      <c r="A1" s="213" t="s">
        <v>434</v>
      </c>
      <c r="B1" s="213"/>
      <c r="C1" s="213"/>
      <c r="D1" s="213"/>
      <c r="E1" s="213"/>
      <c r="F1" s="213"/>
      <c r="G1" s="213"/>
      <c r="H1" s="213"/>
      <c r="I1" s="213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 spans="1:26" ht="33.75" customHeight="1" x14ac:dyDescent="0.3">
      <c r="A2" s="214"/>
      <c r="B2" s="214"/>
      <c r="C2" s="214"/>
      <c r="D2" s="214"/>
      <c r="E2" s="214"/>
      <c r="F2" s="214"/>
      <c r="G2" s="214"/>
      <c r="H2" s="214"/>
      <c r="I2" s="214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</row>
    <row r="3" spans="1:26" ht="13.5" customHeight="1" x14ac:dyDescent="0.3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</row>
    <row r="4" spans="1:26" ht="19.5" customHeight="1" x14ac:dyDescent="0.3">
      <c r="A4" s="215" t="s">
        <v>435</v>
      </c>
      <c r="B4" s="215"/>
      <c r="C4" s="215"/>
      <c r="D4" s="215"/>
      <c r="E4" s="215"/>
      <c r="F4" s="215"/>
      <c r="G4" s="215"/>
      <c r="H4" s="215"/>
      <c r="I4" s="215"/>
      <c r="K4" s="99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</row>
    <row r="5" spans="1:26" ht="43.5" customHeight="1" x14ac:dyDescent="0.3">
      <c r="A5" s="100" t="s">
        <v>436</v>
      </c>
      <c r="B5" s="100" t="s">
        <v>3</v>
      </c>
      <c r="C5" s="100" t="s">
        <v>4</v>
      </c>
      <c r="D5" s="100" t="s">
        <v>5</v>
      </c>
      <c r="E5" s="100" t="s">
        <v>437</v>
      </c>
      <c r="F5" s="100" t="s">
        <v>438</v>
      </c>
      <c r="G5" s="100" t="s">
        <v>8</v>
      </c>
      <c r="H5" s="100" t="s">
        <v>97</v>
      </c>
      <c r="I5" s="100" t="s">
        <v>439</v>
      </c>
      <c r="K5" s="101" t="s">
        <v>440</v>
      </c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</row>
    <row r="6" spans="1:26" ht="19.5" customHeight="1" x14ac:dyDescent="0.3">
      <c r="A6" s="102" t="s">
        <v>441</v>
      </c>
      <c r="B6" s="103">
        <f>'DIA_Giả Định'!$N$90</f>
        <v>1</v>
      </c>
      <c r="C6" s="104">
        <f>'DIA_Giả Định'!$N$91</f>
        <v>270000000</v>
      </c>
      <c r="D6" s="104">
        <f>B6*C6</f>
        <v>270000000</v>
      </c>
      <c r="E6" s="105" t="s">
        <v>38</v>
      </c>
      <c r="F6" s="106">
        <v>0</v>
      </c>
      <c r="G6" s="102" t="s">
        <v>442</v>
      </c>
      <c r="H6" s="102" t="s">
        <v>117</v>
      </c>
      <c r="I6" s="102" t="s">
        <v>442</v>
      </c>
      <c r="K6" s="98" t="s">
        <v>443</v>
      </c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spans="1:26" ht="19.5" customHeight="1" x14ac:dyDescent="0.3">
      <c r="A7" s="102" t="s">
        <v>444</v>
      </c>
      <c r="B7" s="103">
        <f>'DIA_Giả Định'!$N$92</f>
        <v>1</v>
      </c>
      <c r="C7" s="104">
        <f>'DIA_Danh Mục Đầu Tư'!$D$25</f>
        <v>259850000</v>
      </c>
      <c r="D7" s="104">
        <f>B7*C7</f>
        <v>259850000</v>
      </c>
      <c r="E7" s="105" t="s">
        <v>10</v>
      </c>
      <c r="F7" s="106">
        <f>'DIA_Giả Định'!$N$64</f>
        <v>1</v>
      </c>
      <c r="G7" s="102" t="s">
        <v>445</v>
      </c>
      <c r="H7" s="102" t="s">
        <v>117</v>
      </c>
      <c r="I7" s="102" t="s">
        <v>446</v>
      </c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</row>
    <row r="8" spans="1:26" ht="19.5" customHeight="1" x14ac:dyDescent="0.3">
      <c r="A8" s="102" t="s">
        <v>32</v>
      </c>
      <c r="B8" s="103">
        <f>'DIA_Giả Định'!$N$96</f>
        <v>2</v>
      </c>
      <c r="C8" s="104">
        <f>'DIA_Giả Định'!$N$97</f>
        <v>8000000</v>
      </c>
      <c r="D8" s="104">
        <f>B8*C8</f>
        <v>16000000</v>
      </c>
      <c r="E8" s="105" t="s">
        <v>10</v>
      </c>
      <c r="F8" s="106">
        <f>'DIA_Giả Định'!$N$64</f>
        <v>1</v>
      </c>
      <c r="G8" s="102" t="s">
        <v>445</v>
      </c>
      <c r="H8" s="102" t="s">
        <v>117</v>
      </c>
      <c r="I8" s="102" t="s">
        <v>446</v>
      </c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</row>
    <row r="9" spans="1:26" ht="19.5" customHeight="1" x14ac:dyDescent="0.3">
      <c r="A9" s="102" t="s">
        <v>31</v>
      </c>
      <c r="B9" s="103">
        <v>1</v>
      </c>
      <c r="C9" s="104">
        <f>'DIA_Danh Mục Đầu Tư'!$D$14</f>
        <v>2600000</v>
      </c>
      <c r="D9" s="104">
        <f>'DIA_Danh Mục Đầu Tư'!$D$14</f>
        <v>2600000</v>
      </c>
      <c r="E9" s="105" t="s">
        <v>10</v>
      </c>
      <c r="F9" s="106">
        <f>'DIA_Giả Định'!$N$64</f>
        <v>1</v>
      </c>
      <c r="G9" s="102" t="s">
        <v>445</v>
      </c>
      <c r="H9" s="102" t="s">
        <v>117</v>
      </c>
      <c r="I9" s="102" t="s">
        <v>446</v>
      </c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</row>
    <row r="10" spans="1:26" ht="19.5" customHeight="1" x14ac:dyDescent="0.3">
      <c r="A10" s="102" t="s">
        <v>18</v>
      </c>
      <c r="B10" s="103">
        <v>1</v>
      </c>
      <c r="C10" s="104">
        <f>'DIA_Danh Mục Đầu Tư'!$D$8</f>
        <v>96000000</v>
      </c>
      <c r="D10" s="104">
        <f>'DIA_Danh Mục Đầu Tư'!$E$8</f>
        <v>96000000</v>
      </c>
      <c r="E10" s="105"/>
      <c r="F10" s="106">
        <f>'DIA_Giả Định'!$N$64</f>
        <v>1</v>
      </c>
      <c r="G10" s="102" t="s">
        <v>445</v>
      </c>
      <c r="H10" s="102" t="s">
        <v>117</v>
      </c>
      <c r="I10" s="102" t="s">
        <v>446</v>
      </c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</row>
    <row r="11" spans="1:26" ht="36.75" customHeight="1" x14ac:dyDescent="0.3">
      <c r="A11" s="102" t="s">
        <v>447</v>
      </c>
      <c r="B11" s="103">
        <f>'DIA_Giả Định'!$N$98</f>
        <v>1</v>
      </c>
      <c r="C11" s="104">
        <f>'DIA_Giả Định'!$N$99</f>
        <v>40000000</v>
      </c>
      <c r="D11" s="104">
        <f>B11*C11</f>
        <v>40000000</v>
      </c>
      <c r="E11" s="105" t="s">
        <v>10</v>
      </c>
      <c r="F11" s="106">
        <f>'DIA_Giả Định'!$N$64</f>
        <v>1</v>
      </c>
      <c r="G11" s="102" t="s">
        <v>448</v>
      </c>
      <c r="H11" s="102" t="s">
        <v>117</v>
      </c>
      <c r="I11" s="102" t="s">
        <v>446</v>
      </c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</row>
    <row r="12" spans="1:26" ht="36.75" customHeight="1" x14ac:dyDescent="0.3">
      <c r="A12" s="102" t="s">
        <v>449</v>
      </c>
      <c r="B12" s="103">
        <f>'DIA_Giả Định'!$N$100</f>
        <v>1</v>
      </c>
      <c r="C12" s="104">
        <f>'DIA_Giả Định'!$N$101</f>
        <v>40000000</v>
      </c>
      <c r="D12" s="104">
        <f>B12*C12</f>
        <v>40000000</v>
      </c>
      <c r="E12" s="105" t="s">
        <v>10</v>
      </c>
      <c r="F12" s="106">
        <f>'DIA_Giả Định'!$N$64</f>
        <v>1</v>
      </c>
      <c r="G12" s="102" t="s">
        <v>448</v>
      </c>
      <c r="H12" s="102" t="s">
        <v>117</v>
      </c>
      <c r="I12" s="102" t="s">
        <v>446</v>
      </c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</row>
    <row r="13" spans="1:26" ht="19.5" customHeight="1" x14ac:dyDescent="0.3">
      <c r="A13" s="102" t="s">
        <v>37</v>
      </c>
      <c r="B13" s="103">
        <f>'DIA_Giả Định'!$N$141</f>
        <v>6</v>
      </c>
      <c r="C13" s="104">
        <f>'DIA_Danh Mục Đầu Tư'!$D$18</f>
        <v>41000000</v>
      </c>
      <c r="D13" s="104">
        <f>'DIA_Danh Mục Đầu Tư'!$E$18</f>
        <v>41000000</v>
      </c>
      <c r="E13" s="105" t="s">
        <v>38</v>
      </c>
      <c r="F13" s="106">
        <v>0</v>
      </c>
      <c r="G13" s="102" t="s">
        <v>442</v>
      </c>
      <c r="H13" s="102" t="s">
        <v>117</v>
      </c>
      <c r="I13" s="102" t="s">
        <v>442</v>
      </c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</row>
    <row r="14" spans="1:26" ht="36.75" customHeight="1" x14ac:dyDescent="0.3">
      <c r="A14" s="102" t="s">
        <v>450</v>
      </c>
      <c r="B14" s="103">
        <f>'DIA_Giả Định'!$N$114</f>
        <v>5</v>
      </c>
      <c r="C14" s="104">
        <f>'DIA_Giả Định'!$N$115</f>
        <v>24700000</v>
      </c>
      <c r="D14" s="104">
        <f t="shared" ref="D14:D20" si="0">B14*C14</f>
        <v>123500000</v>
      </c>
      <c r="E14" s="105" t="s">
        <v>10</v>
      </c>
      <c r="F14" s="106">
        <f>'DIA_Giả Định'!$N$65</f>
        <v>4</v>
      </c>
      <c r="G14" s="102" t="s">
        <v>451</v>
      </c>
      <c r="H14" s="102" t="s">
        <v>117</v>
      </c>
      <c r="I14" s="102" t="s">
        <v>452</v>
      </c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</row>
    <row r="15" spans="1:26" ht="36.75" customHeight="1" x14ac:dyDescent="0.3">
      <c r="A15" s="102" t="s">
        <v>453</v>
      </c>
      <c r="B15" s="103">
        <f>'DIA_Giả Định'!$N$116</f>
        <v>1</v>
      </c>
      <c r="C15" s="104">
        <f>'DIA_Giả Định'!$N$117</f>
        <v>16300000</v>
      </c>
      <c r="D15" s="104">
        <f t="shared" si="0"/>
        <v>16300000</v>
      </c>
      <c r="E15" s="105" t="s">
        <v>10</v>
      </c>
      <c r="F15" s="106">
        <f>'DIA_Giả Định'!$N$65</f>
        <v>4</v>
      </c>
      <c r="G15" s="102" t="s">
        <v>454</v>
      </c>
      <c r="H15" s="102" t="s">
        <v>117</v>
      </c>
      <c r="I15" s="102" t="s">
        <v>452</v>
      </c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</row>
    <row r="16" spans="1:26" ht="19.5" customHeight="1" x14ac:dyDescent="0.3">
      <c r="A16" s="102" t="s">
        <v>455</v>
      </c>
      <c r="B16" s="103">
        <f>'DIA_Giả Định'!$N$118</f>
        <v>1</v>
      </c>
      <c r="C16" s="104">
        <f>'DIA_Giả Định'!$N$119</f>
        <v>80000000</v>
      </c>
      <c r="D16" s="104">
        <f t="shared" si="0"/>
        <v>80000000</v>
      </c>
      <c r="E16" s="105" t="s">
        <v>38</v>
      </c>
      <c r="F16" s="106">
        <v>0</v>
      </c>
      <c r="G16" s="102" t="s">
        <v>456</v>
      </c>
      <c r="H16" s="102" t="s">
        <v>117</v>
      </c>
      <c r="I16" s="102" t="s">
        <v>442</v>
      </c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</row>
    <row r="17" spans="1:26" ht="19.5" customHeight="1" x14ac:dyDescent="0.3">
      <c r="A17" s="102" t="s">
        <v>457</v>
      </c>
      <c r="B17" s="103">
        <f>'DIA_Giả Định'!$N$120</f>
        <v>1</v>
      </c>
      <c r="C17" s="104">
        <f>'DIA_Giả Định'!$N$121</f>
        <v>150000000</v>
      </c>
      <c r="D17" s="104">
        <f t="shared" si="0"/>
        <v>150000000</v>
      </c>
      <c r="E17" s="105" t="s">
        <v>38</v>
      </c>
      <c r="F17" s="106">
        <v>0</v>
      </c>
      <c r="G17" s="102" t="s">
        <v>458</v>
      </c>
      <c r="H17" s="102" t="s">
        <v>117</v>
      </c>
      <c r="I17" s="102" t="s">
        <v>442</v>
      </c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</row>
    <row r="18" spans="1:26" ht="19.5" customHeight="1" x14ac:dyDescent="0.3">
      <c r="A18" s="102" t="s">
        <v>459</v>
      </c>
      <c r="B18" s="103">
        <f>'DIA_Giả Định'!$N$122</f>
        <v>1</v>
      </c>
      <c r="C18" s="104">
        <f>'DIA_Giả Định'!$N$123</f>
        <v>20000000</v>
      </c>
      <c r="D18" s="104">
        <f t="shared" si="0"/>
        <v>20000000</v>
      </c>
      <c r="E18" s="105" t="s">
        <v>38</v>
      </c>
      <c r="F18" s="106">
        <v>0</v>
      </c>
      <c r="G18" s="102" t="s">
        <v>442</v>
      </c>
      <c r="H18" s="102" t="s">
        <v>117</v>
      </c>
      <c r="I18" s="102" t="s">
        <v>442</v>
      </c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</row>
    <row r="19" spans="1:26" ht="19.5" customHeight="1" x14ac:dyDescent="0.3">
      <c r="A19" s="102" t="s">
        <v>460</v>
      </c>
      <c r="B19" s="103">
        <f>'DIA_Giả Định'!$N$124</f>
        <v>1</v>
      </c>
      <c r="C19" s="104">
        <f>'DIA_Giả Định'!$N$125</f>
        <v>300000000</v>
      </c>
      <c r="D19" s="104">
        <f t="shared" si="0"/>
        <v>300000000</v>
      </c>
      <c r="E19" s="105" t="s">
        <v>38</v>
      </c>
      <c r="F19" s="106">
        <v>0</v>
      </c>
      <c r="G19" s="102" t="s">
        <v>461</v>
      </c>
      <c r="H19" s="102" t="s">
        <v>117</v>
      </c>
      <c r="I19" s="102" t="s">
        <v>462</v>
      </c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</row>
    <row r="20" spans="1:26" ht="19.5" customHeight="1" x14ac:dyDescent="0.3">
      <c r="A20" s="102" t="s">
        <v>70</v>
      </c>
      <c r="B20" s="103">
        <f>'DIA_Giả Định'!$N$126</f>
        <v>1</v>
      </c>
      <c r="C20" s="104">
        <f>'DIA_Giả Định'!$N$127</f>
        <v>300000000</v>
      </c>
      <c r="D20" s="104">
        <f t="shared" si="0"/>
        <v>300000000</v>
      </c>
      <c r="E20" s="105" t="s">
        <v>38</v>
      </c>
      <c r="F20" s="106">
        <v>0</v>
      </c>
      <c r="G20" s="102" t="s">
        <v>463</v>
      </c>
      <c r="H20" s="102" t="s">
        <v>117</v>
      </c>
      <c r="I20" s="102" t="s">
        <v>442</v>
      </c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</row>
    <row r="21" spans="1:26" ht="19.5" customHeight="1" x14ac:dyDescent="0.3">
      <c r="A21" s="216" t="s">
        <v>464</v>
      </c>
      <c r="B21" s="216"/>
      <c r="C21" s="216"/>
      <c r="D21" s="108">
        <f>SUM(D6:D20)</f>
        <v>1755250000</v>
      </c>
      <c r="E21" s="107"/>
      <c r="F21" s="107"/>
      <c r="G21" s="107"/>
      <c r="H21" s="107"/>
      <c r="I21" s="107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</row>
    <row r="22" spans="1:26" ht="13.5" customHeight="1" x14ac:dyDescent="0.3">
      <c r="A22" s="9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</row>
    <row r="23" spans="1:26" ht="13.5" customHeight="1" x14ac:dyDescent="0.3">
      <c r="A23" s="98"/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</row>
    <row r="24" spans="1:26" ht="19.5" customHeight="1" x14ac:dyDescent="0.3">
      <c r="A24" s="215" t="s">
        <v>465</v>
      </c>
      <c r="B24" s="215"/>
      <c r="C24" s="215"/>
      <c r="D24" s="215"/>
      <c r="E24" s="215"/>
      <c r="F24" s="215"/>
      <c r="G24" s="215"/>
      <c r="H24" s="215"/>
      <c r="I24" s="215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</row>
    <row r="25" spans="1:26" ht="30" customHeight="1" x14ac:dyDescent="0.3">
      <c r="A25" s="100" t="s">
        <v>436</v>
      </c>
      <c r="B25" s="100" t="s">
        <v>466</v>
      </c>
      <c r="C25" s="100" t="s">
        <v>467</v>
      </c>
      <c r="D25" s="100" t="s">
        <v>468</v>
      </c>
      <c r="E25" s="100" t="s">
        <v>469</v>
      </c>
      <c r="F25" s="100" t="s">
        <v>470</v>
      </c>
      <c r="G25" s="100" t="s">
        <v>471</v>
      </c>
      <c r="H25" s="100" t="s">
        <v>97</v>
      </c>
      <c r="I25" s="100" t="s">
        <v>472</v>
      </c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</row>
    <row r="26" spans="1:26" ht="36.75" customHeight="1" x14ac:dyDescent="0.3">
      <c r="A26" s="102" t="s">
        <v>14</v>
      </c>
      <c r="B26" s="104">
        <f>'DIA_Giả Định'!$N$75</f>
        <v>25000000</v>
      </c>
      <c r="C26" s="104">
        <f>B26*'DIA_Giả Định'!$N$5</f>
        <v>300000000</v>
      </c>
      <c r="D26" s="104">
        <f>'DIA_Giả Định'!$O$75</f>
        <v>30000000</v>
      </c>
      <c r="E26" s="104">
        <f>D26*'DIA_Giả Định'!$O$5</f>
        <v>360000000</v>
      </c>
      <c r="F26" s="104">
        <f>'DIA_Giả Định'!$P$75</f>
        <v>35000000</v>
      </c>
      <c r="G26" s="104">
        <f>F26*'DIA_Giả Định'!$P$5</f>
        <v>420000000</v>
      </c>
      <c r="H26" s="102" t="s">
        <v>117</v>
      </c>
      <c r="I26" s="102" t="s">
        <v>473</v>
      </c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</row>
    <row r="27" spans="1:26" ht="36.75" customHeight="1" x14ac:dyDescent="0.3">
      <c r="A27" s="102" t="s">
        <v>284</v>
      </c>
      <c r="B27" s="104">
        <f>'DIA_Giả Định'!$N$76</f>
        <v>8000000</v>
      </c>
      <c r="C27" s="104">
        <f>B27*'DIA_Giả Định'!$N$5</f>
        <v>96000000</v>
      </c>
      <c r="D27" s="104">
        <f>'DIA_Giả Định'!$O$76</f>
        <v>9000000</v>
      </c>
      <c r="E27" s="104">
        <f>D27*'DIA_Giả Định'!$O$5</f>
        <v>108000000</v>
      </c>
      <c r="F27" s="104">
        <f>'DIA_Giả Định'!$P$76</f>
        <v>10000000</v>
      </c>
      <c r="G27" s="104">
        <f>F27*'DIA_Giả Định'!$P$5</f>
        <v>120000000</v>
      </c>
      <c r="H27" s="102" t="s">
        <v>117</v>
      </c>
      <c r="I27" s="102" t="s">
        <v>473</v>
      </c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</row>
    <row r="28" spans="1:26" ht="36.75" customHeight="1" x14ac:dyDescent="0.3">
      <c r="A28" s="102" t="s">
        <v>286</v>
      </c>
      <c r="B28" s="104">
        <f>'DIA_Giả Định'!$N$77</f>
        <v>6000000</v>
      </c>
      <c r="C28" s="104">
        <f>B28*'DIA_Giả Định'!$N$5</f>
        <v>72000000</v>
      </c>
      <c r="D28" s="104">
        <f>'DIA_Giả Định'!$O$77</f>
        <v>9000000</v>
      </c>
      <c r="E28" s="104">
        <f>D28*'DIA_Giả Định'!$O$5</f>
        <v>108000000</v>
      </c>
      <c r="F28" s="104">
        <f>'DIA_Giả Định'!$P$77</f>
        <v>12000000</v>
      </c>
      <c r="G28" s="104">
        <f>F28*'DIA_Giả Định'!$P$5</f>
        <v>144000000</v>
      </c>
      <c r="H28" s="102" t="s">
        <v>117</v>
      </c>
      <c r="I28" s="102" t="s">
        <v>473</v>
      </c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</row>
    <row r="29" spans="1:26" ht="36.75" customHeight="1" x14ac:dyDescent="0.3">
      <c r="A29" s="102" t="s">
        <v>288</v>
      </c>
      <c r="B29" s="104">
        <f>'DIA_Giả Định'!$N$78</f>
        <v>8000000</v>
      </c>
      <c r="C29" s="104">
        <f>B29*'DIA_Giả Định'!$N$5</f>
        <v>96000000</v>
      </c>
      <c r="D29" s="104">
        <f>'DIA_Giả Định'!$O$78</f>
        <v>9500000</v>
      </c>
      <c r="E29" s="104">
        <f>D29*'DIA_Giả Định'!$O$5</f>
        <v>114000000</v>
      </c>
      <c r="F29" s="104">
        <f>'DIA_Giả Định'!$P$78</f>
        <v>12000000</v>
      </c>
      <c r="G29" s="104">
        <f>F29*'DIA_Giả Định'!$P$5</f>
        <v>144000000</v>
      </c>
      <c r="H29" s="102" t="s">
        <v>117</v>
      </c>
      <c r="I29" s="102" t="s">
        <v>474</v>
      </c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spans="1:26" ht="36.75" customHeight="1" x14ac:dyDescent="0.3">
      <c r="A30" s="102" t="s">
        <v>290</v>
      </c>
      <c r="B30" s="104">
        <f>'DIA_Giả Định'!$N$79</f>
        <v>15000000</v>
      </c>
      <c r="C30" s="104">
        <f>B30*'DIA_Giả Định'!$N$5</f>
        <v>180000000</v>
      </c>
      <c r="D30" s="104">
        <f>'DIA_Giả Định'!$O$79</f>
        <v>20000000</v>
      </c>
      <c r="E30" s="104">
        <f>D30*'DIA_Giả Định'!$O$5</f>
        <v>240000000</v>
      </c>
      <c r="F30" s="104">
        <f>'DIA_Giả Định'!$P$79</f>
        <v>25000000</v>
      </c>
      <c r="G30" s="104">
        <f>F30*'DIA_Giả Định'!$P$5</f>
        <v>300000000</v>
      </c>
      <c r="H30" s="102" t="s">
        <v>117</v>
      </c>
      <c r="I30" s="102" t="s">
        <v>290</v>
      </c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</row>
    <row r="31" spans="1:26" ht="36.75" customHeight="1" x14ac:dyDescent="0.3">
      <c r="A31" s="102" t="s">
        <v>292</v>
      </c>
      <c r="B31" s="104">
        <f>'DIA_Giả Định'!$N$80</f>
        <v>10000000</v>
      </c>
      <c r="C31" s="104">
        <f>B31*'DIA_Giả Định'!$N$5</f>
        <v>120000000</v>
      </c>
      <c r="D31" s="104">
        <f>'DIA_Giả Định'!$O$80</f>
        <v>12000000</v>
      </c>
      <c r="E31" s="104">
        <f>D31*'DIA_Giả Định'!$O$5</f>
        <v>144000000</v>
      </c>
      <c r="F31" s="104">
        <f>'DIA_Giả Định'!$P$80</f>
        <v>15000000</v>
      </c>
      <c r="G31" s="104">
        <f>F31*'DIA_Giả Định'!$P$5</f>
        <v>180000000</v>
      </c>
      <c r="H31" s="102" t="s">
        <v>117</v>
      </c>
      <c r="I31" s="102" t="s">
        <v>473</v>
      </c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</row>
    <row r="32" spans="1:26" ht="36.75" customHeight="1" x14ac:dyDescent="0.3">
      <c r="A32" s="102" t="s">
        <v>294</v>
      </c>
      <c r="B32" s="104">
        <f>'DIA_Giả Định'!$N$81</f>
        <v>7000000</v>
      </c>
      <c r="C32" s="104">
        <f>B32*'DIA_Giả Định'!$N$5</f>
        <v>84000000</v>
      </c>
      <c r="D32" s="104">
        <f>'DIA_Giả Định'!$O$81</f>
        <v>9000000</v>
      </c>
      <c r="E32" s="104">
        <f>D32*'DIA_Giả Định'!$O$5</f>
        <v>108000000</v>
      </c>
      <c r="F32" s="104">
        <f>'DIA_Giả Định'!$P$81</f>
        <v>12000000</v>
      </c>
      <c r="G32" s="104">
        <f>F32*'DIA_Giả Định'!$P$5</f>
        <v>144000000</v>
      </c>
      <c r="H32" s="102" t="s">
        <v>117</v>
      </c>
      <c r="I32" s="102" t="s">
        <v>474</v>
      </c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</row>
    <row r="33" spans="1:26" ht="36.75" customHeight="1" x14ac:dyDescent="0.3">
      <c r="A33" s="102" t="s">
        <v>475</v>
      </c>
      <c r="B33" s="109" t="s">
        <v>476</v>
      </c>
      <c r="C33" s="109" t="s">
        <v>476</v>
      </c>
      <c r="D33" s="104">
        <f>'DIA_Giả Định'!$O$82</f>
        <v>10000000</v>
      </c>
      <c r="E33" s="104">
        <f>D33*'DIA_Giả Định'!$N$5</f>
        <v>120000000</v>
      </c>
      <c r="F33" s="104">
        <f>'DIA_Giả Định'!$P$82</f>
        <v>12000000</v>
      </c>
      <c r="G33" s="104">
        <f>F33*'DIA_Giả Định'!$P$5</f>
        <v>144000000</v>
      </c>
      <c r="H33" s="102" t="s">
        <v>117</v>
      </c>
      <c r="I33" s="102" t="s">
        <v>474</v>
      </c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</row>
    <row r="34" spans="1:26" ht="36.75" customHeight="1" x14ac:dyDescent="0.3">
      <c r="A34" s="102" t="s">
        <v>297</v>
      </c>
      <c r="B34" s="104">
        <f>'DIA_Giả Định'!$N$83</f>
        <v>22812500</v>
      </c>
      <c r="C34" s="104">
        <f>B34*'DIA_Giả Định'!$N$5</f>
        <v>273750000</v>
      </c>
      <c r="D34" s="104">
        <f>'DIA_Giả Định'!$O$83</f>
        <v>22812500</v>
      </c>
      <c r="E34" s="104">
        <f>D34*'DIA_Giả Định'!$O$5</f>
        <v>273750000</v>
      </c>
      <c r="F34" s="104">
        <f>'DIA_Giả Định'!$P$83</f>
        <v>22812500</v>
      </c>
      <c r="G34" s="104">
        <f>F34*'DIA_Giả Định'!$P$5</f>
        <v>273750000</v>
      </c>
      <c r="H34" s="102" t="s">
        <v>117</v>
      </c>
      <c r="I34" s="102" t="s">
        <v>477</v>
      </c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</row>
    <row r="35" spans="1:26" ht="36.75" customHeight="1" x14ac:dyDescent="0.3">
      <c r="A35" s="102" t="s">
        <v>299</v>
      </c>
      <c r="B35" s="104">
        <f>'DIA_Giả Định'!$N$84</f>
        <v>2000000</v>
      </c>
      <c r="C35" s="104">
        <f>B35*'DIA_Giả Định'!$N$5</f>
        <v>24000000</v>
      </c>
      <c r="D35" s="104">
        <f>'DIA_Giả Định'!$O$84</f>
        <v>4000000</v>
      </c>
      <c r="E35" s="104">
        <f>D35*'DIA_Giả Định'!$O$5</f>
        <v>48000000</v>
      </c>
      <c r="F35" s="104">
        <f>'DIA_Giả Định'!$P$84</f>
        <v>7000000</v>
      </c>
      <c r="G35" s="104">
        <f>F35*'DIA_Giả Định'!$P$5</f>
        <v>84000000</v>
      </c>
      <c r="H35" s="102" t="s">
        <v>117</v>
      </c>
      <c r="I35" s="102" t="s">
        <v>477</v>
      </c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</row>
    <row r="36" spans="1:26" ht="36.75" customHeight="1" x14ac:dyDescent="0.3">
      <c r="A36" s="102" t="s">
        <v>301</v>
      </c>
      <c r="B36" s="104">
        <f t="shared" ref="B36:G36" si="1">SUM(B37,B38)</f>
        <v>10000000</v>
      </c>
      <c r="C36" s="104">
        <f t="shared" si="1"/>
        <v>120000000</v>
      </c>
      <c r="D36" s="104">
        <f t="shared" si="1"/>
        <v>14000000</v>
      </c>
      <c r="E36" s="104">
        <f t="shared" si="1"/>
        <v>168000000</v>
      </c>
      <c r="F36" s="104">
        <f t="shared" si="1"/>
        <v>18000000</v>
      </c>
      <c r="G36" s="104">
        <f t="shared" si="1"/>
        <v>216000000</v>
      </c>
      <c r="H36" s="102" t="s">
        <v>117</v>
      </c>
      <c r="I36" s="102" t="s">
        <v>474</v>
      </c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</row>
    <row r="37" spans="1:26" ht="36.75" customHeight="1" x14ac:dyDescent="0.3">
      <c r="A37" s="102" t="s">
        <v>478</v>
      </c>
      <c r="B37" s="104">
        <v>5000000</v>
      </c>
      <c r="C37" s="104">
        <f>B37*'DIA_Giả Định'!$N$5</f>
        <v>60000000</v>
      </c>
      <c r="D37" s="104">
        <v>7000000</v>
      </c>
      <c r="E37" s="104">
        <f>D37*'DIA_Giả Định'!$O$5</f>
        <v>84000000</v>
      </c>
      <c r="F37" s="104">
        <v>9000000</v>
      </c>
      <c r="G37" s="104">
        <f>F37*'DIA_Giả Định'!$P$5</f>
        <v>108000000</v>
      </c>
      <c r="H37" s="102" t="s">
        <v>117</v>
      </c>
      <c r="I37" s="102" t="s">
        <v>474</v>
      </c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</row>
    <row r="38" spans="1:26" ht="36.75" customHeight="1" x14ac:dyDescent="0.3">
      <c r="A38" s="102" t="s">
        <v>479</v>
      </c>
      <c r="B38" s="104">
        <v>5000000</v>
      </c>
      <c r="C38" s="104">
        <f>B38*'DIA_Giả Định'!$N$5</f>
        <v>60000000</v>
      </c>
      <c r="D38" s="104">
        <v>7000000</v>
      </c>
      <c r="E38" s="104">
        <f>D38*'DIA_Giả Định'!$O$5</f>
        <v>84000000</v>
      </c>
      <c r="F38" s="104">
        <v>9000000</v>
      </c>
      <c r="G38" s="104">
        <f>F38*'DIA_Giả Định'!$P$5</f>
        <v>108000000</v>
      </c>
      <c r="H38" s="102" t="s">
        <v>117</v>
      </c>
      <c r="I38" s="102" t="s">
        <v>474</v>
      </c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</row>
    <row r="39" spans="1:26" ht="36.75" customHeight="1" x14ac:dyDescent="0.3">
      <c r="A39" s="102" t="s">
        <v>303</v>
      </c>
      <c r="B39" s="104">
        <f>'DIA_Giả Định'!$N$86</f>
        <v>4000000</v>
      </c>
      <c r="C39" s="104">
        <f>B39*'DIA_Giả Định'!$N$5</f>
        <v>48000000</v>
      </c>
      <c r="D39" s="104">
        <f>'DIA_Giả Định'!$O$86</f>
        <v>10000000</v>
      </c>
      <c r="E39" s="104">
        <f>D39*'DIA_Giả Định'!$O$5</f>
        <v>120000000</v>
      </c>
      <c r="F39" s="104">
        <f>'DIA_Giả Định'!$P$86</f>
        <v>18000000</v>
      </c>
      <c r="G39" s="104">
        <f>F39*'DIA_Giả Định'!$P$5</f>
        <v>216000000</v>
      </c>
      <c r="H39" s="102" t="s">
        <v>117</v>
      </c>
      <c r="I39" s="102" t="s">
        <v>477</v>
      </c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</row>
    <row r="40" spans="1:26" ht="36.75" customHeight="1" x14ac:dyDescent="0.3">
      <c r="A40" s="102" t="s">
        <v>305</v>
      </c>
      <c r="B40" s="104">
        <f>'DIA_Giả Định'!$N$87</f>
        <v>3000000</v>
      </c>
      <c r="C40" s="104">
        <f>B40*'DIA_Giả Định'!$N$5</f>
        <v>36000000</v>
      </c>
      <c r="D40" s="104">
        <f>'DIA_Giả Định'!$O$87</f>
        <v>6000000</v>
      </c>
      <c r="E40" s="104">
        <f>D40*'DIA_Giả Định'!$O$5</f>
        <v>72000000</v>
      </c>
      <c r="F40" s="104">
        <f>'DIA_Giả Định'!$P$87</f>
        <v>12000000</v>
      </c>
      <c r="G40" s="104">
        <f>F40*'DIA_Giả Định'!$P$5</f>
        <v>144000000</v>
      </c>
      <c r="H40" s="102" t="s">
        <v>117</v>
      </c>
      <c r="I40" s="102" t="s">
        <v>474</v>
      </c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</row>
    <row r="41" spans="1:26" ht="36.75" customHeight="1" x14ac:dyDescent="0.3">
      <c r="A41" s="102" t="s">
        <v>307</v>
      </c>
      <c r="B41" s="104">
        <f>'DIA_Giả Định'!$N$88</f>
        <v>6000000</v>
      </c>
      <c r="C41" s="104">
        <f>B41*'DIA_Giả Định'!$N$5</f>
        <v>72000000</v>
      </c>
      <c r="D41" s="104">
        <f>'DIA_Giả Định'!$O$88</f>
        <v>7000000</v>
      </c>
      <c r="E41" s="104">
        <f>D41*'DIA_Giả Định'!$O$5</f>
        <v>84000000</v>
      </c>
      <c r="F41" s="104">
        <f>'DIA_Giả Định'!$P$88</f>
        <v>8000000</v>
      </c>
      <c r="G41" s="104">
        <f>F41*'DIA_Giả Định'!$P$5</f>
        <v>96000000</v>
      </c>
      <c r="H41" s="102" t="s">
        <v>117</v>
      </c>
      <c r="I41" s="102" t="s">
        <v>474</v>
      </c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</row>
    <row r="42" spans="1:26" ht="19.5" customHeight="1" x14ac:dyDescent="0.3">
      <c r="A42" s="107" t="s">
        <v>480</v>
      </c>
      <c r="B42" s="110">
        <f t="shared" ref="B42:G42" si="2">SUM(B26:B41)</f>
        <v>136812500</v>
      </c>
      <c r="C42" s="110">
        <f t="shared" si="2"/>
        <v>1641750000</v>
      </c>
      <c r="D42" s="110">
        <f t="shared" si="2"/>
        <v>186312500</v>
      </c>
      <c r="E42" s="110">
        <f t="shared" si="2"/>
        <v>2235750000</v>
      </c>
      <c r="F42" s="110">
        <f t="shared" si="2"/>
        <v>236812500</v>
      </c>
      <c r="G42" s="110">
        <f t="shared" si="2"/>
        <v>2841750000</v>
      </c>
      <c r="H42" s="107"/>
      <c r="I42" s="107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</row>
    <row r="43" spans="1:26" ht="13.5" customHeight="1" x14ac:dyDescent="0.3">
      <c r="A43" s="98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</row>
    <row r="44" spans="1:26" ht="13.5" customHeight="1" x14ac:dyDescent="0.3">
      <c r="A44" s="98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</row>
    <row r="45" spans="1:26" ht="19.5" customHeight="1" x14ac:dyDescent="0.3">
      <c r="A45" s="215" t="s">
        <v>481</v>
      </c>
      <c r="B45" s="215"/>
      <c r="C45" s="215"/>
      <c r="D45" s="215"/>
      <c r="E45" s="215"/>
      <c r="F45" s="215"/>
      <c r="G45" s="215"/>
      <c r="H45" s="215"/>
      <c r="I45" s="215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</row>
    <row r="46" spans="1:26" ht="30" customHeight="1" x14ac:dyDescent="0.3">
      <c r="A46" s="100" t="s">
        <v>436</v>
      </c>
      <c r="B46" s="100" t="s">
        <v>482</v>
      </c>
      <c r="C46" s="100" t="s">
        <v>84</v>
      </c>
      <c r="D46" s="100" t="s">
        <v>467</v>
      </c>
      <c r="E46" s="100" t="s">
        <v>469</v>
      </c>
      <c r="F46" s="100" t="s">
        <v>471</v>
      </c>
      <c r="G46" s="100" t="s">
        <v>483</v>
      </c>
      <c r="H46" s="100" t="s">
        <v>8</v>
      </c>
      <c r="I46" s="100" t="s">
        <v>81</v>
      </c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</row>
    <row r="47" spans="1:26" ht="54.75" customHeight="1" x14ac:dyDescent="0.3">
      <c r="A47" s="102" t="s">
        <v>484</v>
      </c>
      <c r="B47" s="102" t="s">
        <v>485</v>
      </c>
      <c r="C47" s="102" t="s">
        <v>486</v>
      </c>
      <c r="D47" s="104">
        <f>('DIA_Giả Định'!$N$6*'DIA_Giả Định'!$N$7)*'DIA_Giả Định'!$N$23*'DIA_Giả Định'!$N$45*'DIA_Giả Định'!$N$5</f>
        <v>52920000</v>
      </c>
      <c r="E47" s="104">
        <f>('DIA_Giả Định'!$O$6*'DIA_Giả Định'!$O$7)*'DIA_Giả Định'!$O$23*'DIA_Giả Định'!$O$45*'DIA_Giả Định'!$O$5</f>
        <v>196992000</v>
      </c>
      <c r="F47" s="104">
        <f>('DIA_Giả Định'!$P$6*'DIA_Giả Định'!$P$7)*'DIA_Giả Định'!$P$23*'DIA_Giả Định'!$P$45*'DIA_Giả Định'!$P$5</f>
        <v>97020000</v>
      </c>
      <c r="G47" s="102" t="s">
        <v>487</v>
      </c>
      <c r="H47" s="102"/>
      <c r="I47" s="102" t="s">
        <v>488</v>
      </c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</row>
    <row r="48" spans="1:26" ht="54.75" customHeight="1" x14ac:dyDescent="0.3">
      <c r="A48" s="102" t="s">
        <v>489</v>
      </c>
      <c r="B48" s="102" t="s">
        <v>490</v>
      </c>
      <c r="C48" s="102" t="s">
        <v>486</v>
      </c>
      <c r="D48" s="104">
        <f>('DIA_Giả Định'!$N$6*'DIA_Giả Định'!$N$7)*'DIA_Giả Định'!$N$46*'DIA_Giả Định'!$N$5</f>
        <v>264600000</v>
      </c>
      <c r="E48" s="104">
        <f>('DIA_Giả Định'!$O$6*'DIA_Giả Định'!$O$7)*'DIA_Giả Định'!$O$46*'DIA_Giả Định'!$O$5</f>
        <v>1026000000</v>
      </c>
      <c r="F48" s="104">
        <f>('DIA_Giả Định'!$P$6*'DIA_Giả Định'!$P$7)*'DIA_Giả Định'!$P$46*'DIA_Giả Định'!$P$5</f>
        <v>508200000</v>
      </c>
      <c r="G48" s="102" t="s">
        <v>487</v>
      </c>
      <c r="H48" s="102"/>
      <c r="I48" s="102" t="s">
        <v>488</v>
      </c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</row>
    <row r="49" spans="1:26" ht="54.75" customHeight="1" x14ac:dyDescent="0.3">
      <c r="A49" s="102" t="s">
        <v>491</v>
      </c>
      <c r="B49" s="102" t="s">
        <v>492</v>
      </c>
      <c r="C49" s="102" t="s">
        <v>486</v>
      </c>
      <c r="D49" s="104">
        <f>('DIA_Giả Định'!$N$6*'DIA_Giả Định'!$N$7)*'DIA_Giả Định'!$N$47*'DIA_Giả Định'!$N$5</f>
        <v>73500000</v>
      </c>
      <c r="E49" s="104">
        <f>('DIA_Giả Định'!$O$6*'DIA_Giả Định'!$O$7)*'DIA_Giả Định'!$O$47*'DIA_Giả Định'!$O$5</f>
        <v>307800000</v>
      </c>
      <c r="F49" s="104">
        <f>('DIA_Giả Định'!$P$6*'DIA_Giả Định'!$P$7)*'DIA_Giả Định'!$P$47*'DIA_Giả Định'!$P$5</f>
        <v>161700000</v>
      </c>
      <c r="G49" s="102" t="s">
        <v>487</v>
      </c>
      <c r="H49" s="102"/>
      <c r="I49" s="102" t="s">
        <v>488</v>
      </c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</row>
    <row r="50" spans="1:26" ht="54.75" customHeight="1" x14ac:dyDescent="0.3">
      <c r="A50" s="102" t="s">
        <v>493</v>
      </c>
      <c r="B50" s="102" t="s">
        <v>494</v>
      </c>
      <c r="C50" s="102" t="s">
        <v>486</v>
      </c>
      <c r="D50" s="104">
        <f>'DIA_Giá và Doanh Thu'!$F$15*'DIA_Giả Định'!$N$49</f>
        <v>31310999.999999996</v>
      </c>
      <c r="E50" s="104">
        <f>'DIA_Giá và Doanh Thu'!$G$15*'DIA_Giả Định'!$O$49</f>
        <v>116295375.75000003</v>
      </c>
      <c r="F50" s="104">
        <f>'DIA_Giá và Doanh Thu'!$H$15*'DIA_Giả Định'!$P$49</f>
        <v>56258335.861560017</v>
      </c>
      <c r="G50" s="102" t="s">
        <v>487</v>
      </c>
      <c r="H50" s="102"/>
      <c r="I50" s="102" t="s">
        <v>495</v>
      </c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</row>
    <row r="51" spans="1:26" ht="54.75" customHeight="1" x14ac:dyDescent="0.3">
      <c r="A51" s="102" t="s">
        <v>496</v>
      </c>
      <c r="B51" s="102" t="s">
        <v>497</v>
      </c>
      <c r="C51" s="102" t="s">
        <v>486</v>
      </c>
      <c r="D51" s="104">
        <f>('DIA_Giả Định'!$N$6*'DIA_Giả Định'!$N$7)*'DIA_Giả Định'!$N$48*'DIA_Giả Định'!$N$5</f>
        <v>35280000</v>
      </c>
      <c r="E51" s="104">
        <f>('DIA_Giả Định'!$O$6*'DIA_Giả Định'!$O$7)*'DIA_Giả Định'!$O$48*'DIA_Giả Định'!$O$5</f>
        <v>153900000</v>
      </c>
      <c r="F51" s="104">
        <f>('DIA_Giả Định'!$P$6*'DIA_Giả Định'!$P$7)*'DIA_Giả Định'!$P$48*'DIA_Giả Định'!$P$5</f>
        <v>83160000</v>
      </c>
      <c r="G51" s="102" t="s">
        <v>487</v>
      </c>
      <c r="H51" s="102"/>
      <c r="I51" s="102" t="s">
        <v>488</v>
      </c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</row>
    <row r="52" spans="1:26" ht="54.75" customHeight="1" x14ac:dyDescent="0.3">
      <c r="A52" s="111" t="s">
        <v>498</v>
      </c>
      <c r="B52" s="102" t="s">
        <v>499</v>
      </c>
      <c r="C52" s="102" t="s">
        <v>486</v>
      </c>
      <c r="D52" s="104">
        <f>('DIA_Giả Định'!$N$6*'DIA_Giả Định'!$N$8)*'DIA_Giả Định'!$N$50*'DIA_Giả Định'!$N$5</f>
        <v>235200000</v>
      </c>
      <c r="E52" s="104">
        <f>('DIA_Giả Định'!$O$6*'DIA_Giả Định'!$O$8)*'DIA_Giả Định'!$O$50*'DIA_Giả Định'!$O$5</f>
        <v>855000000</v>
      </c>
      <c r="F52" s="104">
        <f>('DIA_Giả Định'!$P$6*'DIA_Giả Định'!$P$8)*'DIA_Giả Định'!$P$50*'DIA_Giả Định'!$P$5</f>
        <v>403200000</v>
      </c>
      <c r="G52" s="102" t="s">
        <v>487</v>
      </c>
      <c r="H52" s="102"/>
      <c r="I52" s="102" t="s">
        <v>495</v>
      </c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</row>
    <row r="53" spans="1:26" ht="54.75" customHeight="1" x14ac:dyDescent="0.3">
      <c r="A53" s="102" t="s">
        <v>500</v>
      </c>
      <c r="B53" s="102" t="s">
        <v>501</v>
      </c>
      <c r="C53" s="102" t="s">
        <v>486</v>
      </c>
      <c r="D53" s="104">
        <f>'DIA_Giả Định'!$N$27*'DIA_Giả Định'!$N$39+'DIA_Giả Định'!$N$28*'DIA_Giả Định'!$N$40</f>
        <v>110000000</v>
      </c>
      <c r="E53" s="104">
        <f>'DIA_Giả Định'!$O$27*'DIA_Giả Định'!$O$39+'DIA_Giả Định'!$O$28*'DIA_Giả Định'!$O$40</f>
        <v>190000000</v>
      </c>
      <c r="F53" s="104">
        <f>'DIA_Giả Định'!$P$27*'DIA_Giả Định'!$P$39+'DIA_Giả Định'!$P$28*'DIA_Giả Định'!$P$40</f>
        <v>350000000</v>
      </c>
      <c r="G53" s="102" t="s">
        <v>487</v>
      </c>
      <c r="H53" s="102"/>
      <c r="I53" s="102" t="s">
        <v>502</v>
      </c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</row>
    <row r="54" spans="1:26" ht="54.75" customHeight="1" x14ac:dyDescent="0.3">
      <c r="A54" s="102" t="s">
        <v>503</v>
      </c>
      <c r="B54" s="102" t="s">
        <v>504</v>
      </c>
      <c r="C54" s="102" t="s">
        <v>486</v>
      </c>
      <c r="D54" s="104">
        <f>('DIA_Giá và Doanh Thu'!$F$16+'DIA_Giá và Doanh Thu'!$F$18+'DIA_Giá và Doanh Thu'!$F$19)*'DIA_Giả Định'!$N$53</f>
        <v>44435000</v>
      </c>
      <c r="E54" s="104">
        <f>('DIA_Giá và Doanh Thu'!$G$16+'DIA_Giá và Doanh Thu'!$G$18+'DIA_Giá và Doanh Thu'!$G$19)*'DIA_Giả Định'!$O$53</f>
        <v>109061634.90000001</v>
      </c>
      <c r="F54" s="104">
        <f>('DIA_Giá và Doanh Thu'!$H$16+'DIA_Giá và Doanh Thu'!$H$18+'DIA_Giá và Doanh Thu'!$H$19)*'DIA_Giả Định'!$P$53</f>
        <v>333442629.81536007</v>
      </c>
      <c r="G54" s="102" t="s">
        <v>487</v>
      </c>
      <c r="H54" s="102"/>
      <c r="I54" s="102" t="s">
        <v>502</v>
      </c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</row>
    <row r="55" spans="1:26" ht="54.75" customHeight="1" x14ac:dyDescent="0.3">
      <c r="A55" s="102" t="s">
        <v>235</v>
      </c>
      <c r="B55" s="102" t="s">
        <v>505</v>
      </c>
      <c r="C55" s="102" t="s">
        <v>486</v>
      </c>
      <c r="D55" s="104">
        <f>'DIA_Giá và Doanh Thu'!$F$20*'DIA_Giả Định'!$N$55</f>
        <v>33017100</v>
      </c>
      <c r="E55" s="104">
        <f>'DIA_Giá và Doanh Thu'!$G$20*'DIA_Giả Định'!$O$55</f>
        <v>103845715.92000002</v>
      </c>
      <c r="F55" s="104">
        <f>'DIA_Giá và Doanh Thu'!$H$20*'DIA_Giả Định'!$P$55</f>
        <v>136037790.46154404</v>
      </c>
      <c r="G55" s="102" t="s">
        <v>487</v>
      </c>
      <c r="H55" s="102"/>
      <c r="I55" s="102" t="s">
        <v>506</v>
      </c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</row>
    <row r="56" spans="1:26" ht="54.75" customHeight="1" x14ac:dyDescent="0.3">
      <c r="A56" s="102" t="s">
        <v>507</v>
      </c>
      <c r="B56" s="102" t="s">
        <v>508</v>
      </c>
      <c r="C56" s="102" t="s">
        <v>486</v>
      </c>
      <c r="D56" s="104">
        <f>('DIA_Giá và Doanh Thu'!$G$7)*'DIA_Giả Định'!$N$54*'DIA_Giả Định'!$N$5</f>
        <v>66000000</v>
      </c>
      <c r="E56" s="104">
        <f>('DIA_Giá và Doanh Thu'!$H$7)*'DIA_Giả Định'!$O$54*'DIA_Giả Định'!$O$5</f>
        <v>171600000</v>
      </c>
      <c r="F56" s="104">
        <f>('DIA_Giá và Doanh Thu'!$I$7)*'DIA_Giả Định'!$P$54*'DIA_Giả Định'!$P$5</f>
        <v>576000000</v>
      </c>
      <c r="G56" s="102" t="s">
        <v>487</v>
      </c>
      <c r="H56" s="102"/>
      <c r="I56" s="102" t="s">
        <v>502</v>
      </c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</row>
    <row r="57" spans="1:26" ht="54.75" customHeight="1" x14ac:dyDescent="0.3">
      <c r="A57" s="102" t="s">
        <v>509</v>
      </c>
      <c r="B57" s="102" t="s">
        <v>510</v>
      </c>
      <c r="C57" s="102" t="s">
        <v>486</v>
      </c>
      <c r="D57" s="104">
        <f>('DIA_Giả Định'!$N$6*'DIA_Giả Định'!$N$8)*'DIA_Giả Định'!$N$56*'DIA_Giả Định'!$N$57</f>
        <v>28000000</v>
      </c>
      <c r="E57" s="104">
        <f>('DIA_Giả Định'!$O$6*'DIA_Giả Định'!$O$8)*'DIA_Giả Định'!$O$56*'DIA_Giả Định'!$O$57</f>
        <v>152000000</v>
      </c>
      <c r="F57" s="104">
        <f>('DIA_Giả Định'!$P$6*'DIA_Giả Định'!$P$8)*'DIA_Giả Định'!$P$56*'DIA_Giả Định'!$P$57</f>
        <v>84000000</v>
      </c>
      <c r="G57" s="102" t="s">
        <v>487</v>
      </c>
      <c r="H57" s="102"/>
      <c r="I57" s="102" t="s">
        <v>495</v>
      </c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</row>
    <row r="58" spans="1:26" ht="19.5" customHeight="1" x14ac:dyDescent="0.3">
      <c r="A58" s="216" t="s">
        <v>511</v>
      </c>
      <c r="B58" s="216"/>
      <c r="C58" s="216"/>
      <c r="D58" s="110">
        <f>SUM(D47:D57)</f>
        <v>974263100</v>
      </c>
      <c r="E58" s="110">
        <f>SUM(E47:E57)</f>
        <v>3382494726.5700002</v>
      </c>
      <c r="F58" s="110">
        <f>SUM(F47:F57)</f>
        <v>2789018756.138464</v>
      </c>
      <c r="G58" s="107"/>
      <c r="H58" s="107"/>
      <c r="I58" s="107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</row>
    <row r="59" spans="1:26" ht="13.5" customHeight="1" x14ac:dyDescent="0.3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</row>
    <row r="60" spans="1:26" ht="13.5" customHeight="1" x14ac:dyDescent="0.3">
      <c r="A60" s="98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</row>
    <row r="61" spans="1:26" ht="19.5" customHeight="1" x14ac:dyDescent="0.3">
      <c r="A61" s="215" t="s">
        <v>512</v>
      </c>
      <c r="B61" s="215"/>
      <c r="C61" s="215"/>
      <c r="D61" s="215"/>
      <c r="E61" s="215"/>
      <c r="F61" s="215"/>
      <c r="G61" s="215"/>
      <c r="H61" s="215"/>
      <c r="I61" s="215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</row>
    <row r="62" spans="1:26" ht="19.5" customHeight="1" x14ac:dyDescent="0.3">
      <c r="A62" s="217" t="s">
        <v>513</v>
      </c>
      <c r="B62" s="217"/>
      <c r="C62" s="217"/>
      <c r="D62" s="112">
        <f>D21</f>
        <v>1755250000</v>
      </c>
      <c r="E62" s="112"/>
      <c r="F62" s="112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</row>
    <row r="63" spans="1:26" ht="36.75" customHeight="1" x14ac:dyDescent="0.3">
      <c r="A63" s="217" t="s">
        <v>514</v>
      </c>
      <c r="B63" s="217"/>
      <c r="C63" s="217"/>
      <c r="D63" s="112">
        <f>C42</f>
        <v>1641750000</v>
      </c>
      <c r="E63" s="112">
        <f>E42</f>
        <v>2235750000</v>
      </c>
      <c r="F63" s="112">
        <f>G42</f>
        <v>2841750000</v>
      </c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</row>
    <row r="64" spans="1:26" ht="36.75" customHeight="1" x14ac:dyDescent="0.3">
      <c r="A64" s="217" t="s">
        <v>515</v>
      </c>
      <c r="B64" s="217"/>
      <c r="C64" s="217"/>
      <c r="D64" s="112">
        <f>D58</f>
        <v>974263100</v>
      </c>
      <c r="E64" s="112">
        <f>E58</f>
        <v>3382494726.5700002</v>
      </c>
      <c r="F64" s="112">
        <f>F58</f>
        <v>2789018756.138464</v>
      </c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</row>
    <row r="65" spans="1:26" ht="36.75" customHeight="1" x14ac:dyDescent="0.3">
      <c r="A65" s="218" t="s">
        <v>516</v>
      </c>
      <c r="B65" s="218"/>
      <c r="C65" s="218"/>
      <c r="D65" s="113">
        <f>D63+D64</f>
        <v>2616013100</v>
      </c>
      <c r="E65" s="113">
        <f>E63+E64</f>
        <v>5618244726.5699997</v>
      </c>
      <c r="F65" s="113">
        <f>F63+F64</f>
        <v>5630768756.138464</v>
      </c>
      <c r="G65" s="114"/>
      <c r="H65" s="114"/>
      <c r="I65" s="115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</row>
    <row r="66" spans="1:26" ht="13.5" customHeight="1" x14ac:dyDescent="0.3">
      <c r="A66" s="98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</row>
    <row r="67" spans="1:26" ht="13.5" customHeight="1" x14ac:dyDescent="0.3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</row>
    <row r="68" spans="1:26" ht="13.5" customHeight="1" x14ac:dyDescent="0.3">
      <c r="A68" s="98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</row>
    <row r="69" spans="1:26" ht="13.5" customHeight="1" x14ac:dyDescent="0.3">
      <c r="A69" s="98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</row>
    <row r="70" spans="1:26" ht="13.5" customHeight="1" x14ac:dyDescent="0.3">
      <c r="A70" s="98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</row>
    <row r="71" spans="1:26" ht="13.5" customHeight="1" x14ac:dyDescent="0.3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</row>
    <row r="72" spans="1:26" ht="13.5" customHeight="1" x14ac:dyDescent="0.3">
      <c r="A72" s="98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</row>
    <row r="73" spans="1:26" ht="13.5" customHeight="1" x14ac:dyDescent="0.3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</row>
    <row r="74" spans="1:26" ht="13.5" customHeight="1" x14ac:dyDescent="0.3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</row>
    <row r="75" spans="1:26" ht="13.5" customHeight="1" x14ac:dyDescent="0.3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</row>
    <row r="76" spans="1:26" ht="13.5" customHeight="1" x14ac:dyDescent="0.3">
      <c r="A76" s="98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</row>
    <row r="77" spans="1:26" ht="13.5" customHeight="1" x14ac:dyDescent="0.3">
      <c r="A77" s="98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</row>
    <row r="78" spans="1:26" ht="13.5" customHeight="1" x14ac:dyDescent="0.3">
      <c r="A78" s="98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</row>
    <row r="79" spans="1:26" ht="13.5" customHeight="1" x14ac:dyDescent="0.3">
      <c r="A79" s="98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</row>
    <row r="80" spans="1:26" ht="13.5" customHeight="1" x14ac:dyDescent="0.3">
      <c r="A80" s="98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</row>
    <row r="81" spans="1:26" ht="13.5" customHeight="1" x14ac:dyDescent="0.3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</row>
    <row r="82" spans="1:26" ht="13.5" customHeight="1" x14ac:dyDescent="0.3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</row>
    <row r="83" spans="1:26" ht="13.5" customHeight="1" x14ac:dyDescent="0.3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</row>
    <row r="84" spans="1:26" ht="13.5" customHeight="1" x14ac:dyDescent="0.3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</row>
    <row r="85" spans="1:26" ht="13.5" customHeight="1" x14ac:dyDescent="0.3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</row>
    <row r="86" spans="1:26" ht="13.5" customHeight="1" x14ac:dyDescent="0.3">
      <c r="A86" s="98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</row>
    <row r="87" spans="1:26" ht="13.5" customHeight="1" x14ac:dyDescent="0.3">
      <c r="A87" s="98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</row>
    <row r="88" spans="1:26" ht="13.5" customHeight="1" x14ac:dyDescent="0.3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</row>
    <row r="89" spans="1:26" ht="13.5" customHeight="1" x14ac:dyDescent="0.3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</row>
    <row r="90" spans="1:26" ht="13.5" customHeight="1" x14ac:dyDescent="0.3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</row>
    <row r="91" spans="1:26" ht="13.5" customHeight="1" x14ac:dyDescent="0.3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</row>
    <row r="92" spans="1:26" ht="13.5" customHeight="1" x14ac:dyDescent="0.3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</row>
    <row r="93" spans="1:26" ht="13.5" customHeight="1" x14ac:dyDescent="0.3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</row>
    <row r="94" spans="1:26" ht="13.5" customHeight="1" x14ac:dyDescent="0.3">
      <c r="A94" s="98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</row>
    <row r="95" spans="1:26" ht="13.5" customHeight="1" x14ac:dyDescent="0.3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</row>
    <row r="96" spans="1:26" ht="13.5" customHeight="1" x14ac:dyDescent="0.3">
      <c r="A96" s="98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</row>
    <row r="97" spans="1:26" ht="13.5" customHeight="1" x14ac:dyDescent="0.3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</row>
    <row r="98" spans="1:26" ht="13.5" customHeight="1" x14ac:dyDescent="0.3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</row>
    <row r="99" spans="1:26" ht="13.5" customHeight="1" x14ac:dyDescent="0.3">
      <c r="A99" s="98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</row>
    <row r="100" spans="1:26" ht="13.5" customHeight="1" x14ac:dyDescent="0.3">
      <c r="A100" s="98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</row>
    <row r="101" spans="1:26" ht="13.5" customHeight="1" x14ac:dyDescent="0.3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</row>
    <row r="102" spans="1:26" ht="13.5" customHeight="1" x14ac:dyDescent="0.3">
      <c r="A102" s="98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</row>
    <row r="103" spans="1:26" ht="13.5" customHeight="1" x14ac:dyDescent="0.3">
      <c r="A103" s="98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</row>
    <row r="104" spans="1:26" ht="13.5" customHeight="1" x14ac:dyDescent="0.3">
      <c r="A104" s="98"/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</row>
    <row r="105" spans="1:26" ht="13.5" customHeight="1" x14ac:dyDescent="0.3">
      <c r="A105" s="98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</row>
    <row r="106" spans="1:26" ht="13.5" customHeight="1" x14ac:dyDescent="0.3">
      <c r="A106" s="98"/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</row>
    <row r="107" spans="1:26" ht="13.5" customHeight="1" x14ac:dyDescent="0.3">
      <c r="A107" s="98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</row>
    <row r="108" spans="1:26" ht="13.5" customHeight="1" x14ac:dyDescent="0.3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</row>
    <row r="109" spans="1:26" ht="13.5" customHeight="1" x14ac:dyDescent="0.3">
      <c r="A109" s="98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</row>
    <row r="110" spans="1:26" ht="13.5" customHeight="1" x14ac:dyDescent="0.3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</row>
    <row r="111" spans="1:26" ht="13.5" customHeight="1" x14ac:dyDescent="0.3">
      <c r="A111" s="98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</row>
    <row r="112" spans="1:26" ht="13.5" customHeight="1" x14ac:dyDescent="0.3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</row>
    <row r="113" spans="1:26" ht="13.5" customHeight="1" x14ac:dyDescent="0.3">
      <c r="A113" s="98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</row>
    <row r="114" spans="1:26" ht="13.5" customHeight="1" x14ac:dyDescent="0.3">
      <c r="A114" s="98"/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</row>
    <row r="115" spans="1:26" ht="13.5" customHeight="1" x14ac:dyDescent="0.3">
      <c r="A115" s="98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</row>
    <row r="116" spans="1:26" ht="13.5" customHeight="1" x14ac:dyDescent="0.3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</row>
    <row r="117" spans="1:26" ht="13.5" customHeight="1" x14ac:dyDescent="0.3">
      <c r="A117" s="98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</row>
    <row r="118" spans="1:26" ht="13.5" customHeight="1" x14ac:dyDescent="0.3">
      <c r="A118" s="98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</row>
    <row r="119" spans="1:26" ht="13.5" customHeight="1" x14ac:dyDescent="0.3">
      <c r="A119" s="98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</row>
    <row r="120" spans="1:26" ht="13.5" customHeight="1" x14ac:dyDescent="0.3">
      <c r="A120" s="98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</row>
    <row r="121" spans="1:26" ht="13.5" customHeight="1" x14ac:dyDescent="0.3">
      <c r="A121" s="98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</row>
    <row r="122" spans="1:26" ht="13.5" customHeight="1" x14ac:dyDescent="0.3">
      <c r="A122" s="98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</row>
    <row r="123" spans="1:26" ht="13.5" customHeight="1" x14ac:dyDescent="0.3">
      <c r="A123" s="98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</row>
    <row r="124" spans="1:26" ht="13.5" customHeight="1" x14ac:dyDescent="0.3">
      <c r="A124" s="98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</row>
    <row r="125" spans="1:26" ht="13.5" customHeight="1" x14ac:dyDescent="0.3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</row>
    <row r="126" spans="1:26" ht="13.5" customHeight="1" x14ac:dyDescent="0.3">
      <c r="A126" s="98"/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</row>
    <row r="127" spans="1:26" ht="13.5" customHeight="1" x14ac:dyDescent="0.3">
      <c r="A127" s="98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</row>
    <row r="128" spans="1:26" ht="13.5" customHeight="1" x14ac:dyDescent="0.3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</row>
    <row r="129" spans="1:26" ht="13.5" customHeight="1" x14ac:dyDescent="0.3">
      <c r="A129" s="98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</row>
    <row r="130" spans="1:26" ht="13.5" customHeight="1" x14ac:dyDescent="0.3">
      <c r="A130" s="98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</row>
    <row r="131" spans="1:26" ht="13.5" customHeight="1" x14ac:dyDescent="0.3">
      <c r="A131" s="98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</row>
    <row r="132" spans="1:26" ht="13.5" customHeight="1" x14ac:dyDescent="0.3">
      <c r="A132" s="98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</row>
    <row r="133" spans="1:26" ht="13.5" customHeight="1" x14ac:dyDescent="0.3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</row>
    <row r="134" spans="1:26" ht="13.5" customHeight="1" x14ac:dyDescent="0.3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</row>
    <row r="135" spans="1:26" ht="13.5" customHeight="1" x14ac:dyDescent="0.3">
      <c r="A135" s="98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</row>
    <row r="136" spans="1:26" ht="13.5" customHeight="1" x14ac:dyDescent="0.3">
      <c r="A136" s="98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</row>
    <row r="137" spans="1:26" ht="13.5" customHeight="1" x14ac:dyDescent="0.3">
      <c r="A137" s="98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</row>
    <row r="138" spans="1:26" ht="13.5" customHeight="1" x14ac:dyDescent="0.3">
      <c r="A138" s="98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</row>
    <row r="139" spans="1:26" ht="13.5" customHeight="1" x14ac:dyDescent="0.3">
      <c r="A139" s="98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</row>
    <row r="140" spans="1:26" ht="13.5" customHeight="1" x14ac:dyDescent="0.3">
      <c r="A140" s="98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</row>
    <row r="141" spans="1:26" ht="13.5" customHeight="1" x14ac:dyDescent="0.3">
      <c r="A141" s="98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</row>
    <row r="142" spans="1:26" ht="13.5" customHeight="1" x14ac:dyDescent="0.3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</row>
    <row r="143" spans="1:26" ht="13.5" customHeight="1" x14ac:dyDescent="0.3">
      <c r="A143" s="98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</row>
    <row r="144" spans="1:26" ht="13.5" customHeight="1" x14ac:dyDescent="0.3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</row>
    <row r="145" spans="1:26" ht="13.5" customHeight="1" x14ac:dyDescent="0.3">
      <c r="A145" s="98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</row>
    <row r="146" spans="1:26" ht="13.5" customHeight="1" x14ac:dyDescent="0.3">
      <c r="A146" s="98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</row>
    <row r="147" spans="1:26" ht="13.5" customHeight="1" x14ac:dyDescent="0.3">
      <c r="A147" s="98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</row>
    <row r="148" spans="1:26" ht="13.5" customHeight="1" x14ac:dyDescent="0.3">
      <c r="A148" s="98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</row>
    <row r="149" spans="1:26" ht="13.5" customHeight="1" x14ac:dyDescent="0.3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</row>
    <row r="150" spans="1:26" ht="13.5" customHeight="1" x14ac:dyDescent="0.3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</row>
    <row r="151" spans="1:26" ht="13.5" customHeight="1" x14ac:dyDescent="0.3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</row>
    <row r="152" spans="1:26" ht="13.5" customHeight="1" x14ac:dyDescent="0.3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</row>
    <row r="153" spans="1:26" ht="13.5" customHeight="1" x14ac:dyDescent="0.3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</row>
    <row r="154" spans="1:26" ht="13.5" customHeight="1" x14ac:dyDescent="0.3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</row>
    <row r="155" spans="1:26" ht="13.5" customHeight="1" x14ac:dyDescent="0.3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</row>
    <row r="156" spans="1:26" ht="13.5" customHeight="1" x14ac:dyDescent="0.3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</row>
    <row r="157" spans="1:26" ht="13.5" customHeight="1" x14ac:dyDescent="0.3">
      <c r="A157" s="98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</row>
    <row r="158" spans="1:26" ht="13.5" customHeight="1" x14ac:dyDescent="0.3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</row>
    <row r="159" spans="1:26" ht="13.5" customHeight="1" x14ac:dyDescent="0.3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</row>
    <row r="160" spans="1:26" ht="13.5" customHeight="1" x14ac:dyDescent="0.3">
      <c r="A160" s="98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</row>
    <row r="161" spans="1:26" ht="13.5" customHeight="1" x14ac:dyDescent="0.3">
      <c r="A161" s="98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</row>
    <row r="162" spans="1:26" ht="13.5" customHeight="1" x14ac:dyDescent="0.3">
      <c r="A162" s="98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</row>
    <row r="163" spans="1:26" ht="13.5" customHeight="1" x14ac:dyDescent="0.3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</row>
    <row r="164" spans="1:26" ht="13.5" customHeight="1" x14ac:dyDescent="0.3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</row>
    <row r="165" spans="1:26" ht="13.5" customHeight="1" x14ac:dyDescent="0.3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</row>
    <row r="166" spans="1:26" ht="13.5" customHeight="1" x14ac:dyDescent="0.3">
      <c r="A166" s="98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</row>
    <row r="167" spans="1:26" ht="13.5" customHeight="1" x14ac:dyDescent="0.3">
      <c r="A167" s="98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</row>
    <row r="168" spans="1:26" ht="13.5" customHeight="1" x14ac:dyDescent="0.3">
      <c r="A168" s="98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</row>
    <row r="169" spans="1:26" ht="13.5" customHeight="1" x14ac:dyDescent="0.3">
      <c r="A169" s="98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</row>
    <row r="170" spans="1:26" ht="13.5" customHeight="1" x14ac:dyDescent="0.3">
      <c r="A170" s="98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</row>
    <row r="171" spans="1:26" ht="13.5" customHeight="1" x14ac:dyDescent="0.3">
      <c r="A171" s="98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</row>
    <row r="172" spans="1:26" ht="13.5" customHeight="1" x14ac:dyDescent="0.3">
      <c r="A172" s="98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</row>
    <row r="173" spans="1:26" ht="13.5" customHeight="1" x14ac:dyDescent="0.3">
      <c r="A173" s="98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</row>
    <row r="174" spans="1:26" ht="13.5" customHeight="1" x14ac:dyDescent="0.3">
      <c r="A174" s="98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</row>
    <row r="175" spans="1:26" ht="13.5" customHeight="1" x14ac:dyDescent="0.3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</row>
    <row r="176" spans="1:26" ht="13.5" customHeight="1" x14ac:dyDescent="0.3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</row>
    <row r="177" spans="1:26" ht="13.5" customHeight="1" x14ac:dyDescent="0.3">
      <c r="A177" s="98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</row>
    <row r="178" spans="1:26" ht="13.5" customHeight="1" x14ac:dyDescent="0.3">
      <c r="A178" s="98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</row>
    <row r="179" spans="1:26" ht="13.5" customHeight="1" x14ac:dyDescent="0.3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</row>
    <row r="180" spans="1:26" ht="13.5" customHeight="1" x14ac:dyDescent="0.3">
      <c r="A180" s="98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</row>
    <row r="181" spans="1:26" ht="13.5" customHeight="1" x14ac:dyDescent="0.3">
      <c r="A181" s="98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</row>
    <row r="182" spans="1:26" ht="13.5" customHeight="1" x14ac:dyDescent="0.3">
      <c r="A182" s="98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</row>
    <row r="183" spans="1:26" ht="13.5" customHeight="1" x14ac:dyDescent="0.3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</row>
    <row r="184" spans="1:26" ht="13.5" customHeight="1" x14ac:dyDescent="0.3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</row>
    <row r="185" spans="1:26" ht="13.5" customHeight="1" x14ac:dyDescent="0.3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</row>
    <row r="186" spans="1:26" ht="13.5" customHeight="1" x14ac:dyDescent="0.3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</row>
    <row r="187" spans="1:26" ht="13.5" customHeight="1" x14ac:dyDescent="0.3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</row>
    <row r="188" spans="1:26" ht="13.5" customHeight="1" x14ac:dyDescent="0.3">
      <c r="A188" s="98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</row>
    <row r="189" spans="1:26" ht="13.5" customHeight="1" x14ac:dyDescent="0.3">
      <c r="A189" s="98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</row>
    <row r="190" spans="1:26" ht="13.5" customHeight="1" x14ac:dyDescent="0.3">
      <c r="A190" s="98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</row>
    <row r="191" spans="1:26" ht="13.5" customHeight="1" x14ac:dyDescent="0.3">
      <c r="A191" s="98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</row>
    <row r="192" spans="1:26" ht="13.5" customHeight="1" x14ac:dyDescent="0.3">
      <c r="A192" s="98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</row>
    <row r="193" spans="1:26" ht="13.5" customHeight="1" x14ac:dyDescent="0.3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</row>
    <row r="194" spans="1:26" ht="13.5" customHeight="1" x14ac:dyDescent="0.3">
      <c r="A194" s="98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</row>
    <row r="195" spans="1:26" ht="13.5" customHeight="1" x14ac:dyDescent="0.3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</row>
    <row r="196" spans="1:26" ht="13.5" customHeight="1" x14ac:dyDescent="0.3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</row>
    <row r="197" spans="1:26" ht="13.5" customHeight="1" x14ac:dyDescent="0.3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</row>
    <row r="198" spans="1:26" ht="13.5" customHeight="1" x14ac:dyDescent="0.3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</row>
    <row r="199" spans="1:26" ht="13.5" customHeight="1" x14ac:dyDescent="0.3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</row>
    <row r="200" spans="1:26" ht="13.5" customHeight="1" x14ac:dyDescent="0.3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</row>
    <row r="201" spans="1:26" ht="13.5" customHeight="1" x14ac:dyDescent="0.3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</row>
    <row r="202" spans="1:26" ht="13.5" customHeight="1" x14ac:dyDescent="0.3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</row>
    <row r="203" spans="1:26" ht="13.5" customHeight="1" x14ac:dyDescent="0.3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</row>
    <row r="204" spans="1:26" ht="13.5" customHeight="1" x14ac:dyDescent="0.3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</row>
    <row r="205" spans="1:26" ht="13.5" customHeight="1" x14ac:dyDescent="0.3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</row>
    <row r="206" spans="1:26" ht="13.5" customHeight="1" x14ac:dyDescent="0.3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</row>
    <row r="207" spans="1:26" ht="13.5" customHeight="1" x14ac:dyDescent="0.3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</row>
    <row r="208" spans="1:26" ht="13.5" customHeight="1" x14ac:dyDescent="0.3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</row>
    <row r="209" spans="1:26" ht="13.5" customHeight="1" x14ac:dyDescent="0.3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</row>
    <row r="210" spans="1:26" ht="13.5" customHeight="1" x14ac:dyDescent="0.3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</row>
    <row r="211" spans="1:26" ht="13.5" customHeight="1" x14ac:dyDescent="0.3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</row>
    <row r="212" spans="1:26" ht="13.5" customHeight="1" x14ac:dyDescent="0.3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</row>
    <row r="213" spans="1:26" ht="13.5" customHeight="1" x14ac:dyDescent="0.3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</row>
    <row r="214" spans="1:26" ht="13.5" customHeight="1" x14ac:dyDescent="0.3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</row>
    <row r="215" spans="1:26" ht="13.5" customHeight="1" x14ac:dyDescent="0.3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</row>
    <row r="216" spans="1:26" ht="13.5" customHeight="1" x14ac:dyDescent="0.3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</row>
    <row r="217" spans="1:26" ht="13.5" customHeight="1" x14ac:dyDescent="0.3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</row>
    <row r="218" spans="1:26" ht="13.5" customHeight="1" x14ac:dyDescent="0.3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</row>
    <row r="219" spans="1:26" ht="13.5" customHeight="1" x14ac:dyDescent="0.3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</row>
    <row r="220" spans="1:26" ht="13.5" customHeight="1" x14ac:dyDescent="0.3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</row>
    <row r="221" spans="1:26" ht="13.5" customHeight="1" x14ac:dyDescent="0.3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</row>
    <row r="222" spans="1:26" ht="13.5" customHeight="1" x14ac:dyDescent="0.3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</row>
    <row r="223" spans="1:26" ht="13.5" customHeight="1" x14ac:dyDescent="0.3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</row>
    <row r="224" spans="1:26" ht="13.5" customHeight="1" x14ac:dyDescent="0.3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</row>
    <row r="225" spans="1:26" ht="13.5" customHeight="1" x14ac:dyDescent="0.3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</row>
    <row r="226" spans="1:26" ht="13.5" customHeight="1" x14ac:dyDescent="0.3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</row>
    <row r="227" spans="1:26" ht="13.5" customHeight="1" x14ac:dyDescent="0.3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</row>
    <row r="228" spans="1:26" ht="13.5" customHeight="1" x14ac:dyDescent="0.3">
      <c r="A228" s="98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</row>
    <row r="229" spans="1:26" ht="13.5" customHeight="1" x14ac:dyDescent="0.3">
      <c r="A229" s="98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</row>
    <row r="230" spans="1:26" ht="13.5" customHeight="1" x14ac:dyDescent="0.3">
      <c r="A230" s="98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</row>
    <row r="231" spans="1:26" ht="13.5" customHeight="1" x14ac:dyDescent="0.3">
      <c r="A231" s="98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</row>
    <row r="232" spans="1:26" ht="13.5" customHeight="1" x14ac:dyDescent="0.3">
      <c r="A232" s="98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</row>
    <row r="233" spans="1:26" ht="13.5" customHeight="1" x14ac:dyDescent="0.3">
      <c r="A233" s="98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</row>
    <row r="234" spans="1:26" ht="13.5" customHeight="1" x14ac:dyDescent="0.3">
      <c r="A234" s="98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</row>
    <row r="235" spans="1:26" ht="13.5" customHeight="1" x14ac:dyDescent="0.3">
      <c r="A235" s="98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</row>
    <row r="236" spans="1:26" ht="13.5" customHeight="1" x14ac:dyDescent="0.3">
      <c r="A236" s="98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</row>
    <row r="237" spans="1:26" ht="13.5" customHeight="1" x14ac:dyDescent="0.3">
      <c r="A237" s="98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</row>
    <row r="238" spans="1:26" ht="13.5" customHeight="1" x14ac:dyDescent="0.3">
      <c r="A238" s="98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</row>
    <row r="239" spans="1:26" ht="13.5" customHeight="1" x14ac:dyDescent="0.3">
      <c r="A239" s="98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</row>
    <row r="240" spans="1:26" ht="13.5" customHeight="1" x14ac:dyDescent="0.3">
      <c r="A240" s="98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</row>
    <row r="241" spans="1:26" ht="13.5" customHeight="1" x14ac:dyDescent="0.3">
      <c r="A241" s="98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</row>
    <row r="242" spans="1:26" ht="13.5" customHeight="1" x14ac:dyDescent="0.3">
      <c r="A242" s="98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</row>
    <row r="243" spans="1:26" ht="13.5" customHeight="1" x14ac:dyDescent="0.3">
      <c r="A243" s="98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</row>
    <row r="244" spans="1:26" ht="13.5" customHeight="1" x14ac:dyDescent="0.3">
      <c r="A244" s="98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</row>
    <row r="245" spans="1:26" ht="13.5" customHeight="1" x14ac:dyDescent="0.3">
      <c r="A245" s="98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</row>
    <row r="246" spans="1:26" ht="13.5" customHeight="1" x14ac:dyDescent="0.3">
      <c r="A246" s="98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</row>
    <row r="247" spans="1:26" ht="13.5" customHeight="1" x14ac:dyDescent="0.3">
      <c r="A247" s="98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</row>
    <row r="248" spans="1:26" ht="13.5" customHeight="1" x14ac:dyDescent="0.3">
      <c r="A248" s="98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</row>
    <row r="249" spans="1:26" ht="13.5" customHeight="1" x14ac:dyDescent="0.3">
      <c r="A249" s="98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</row>
    <row r="250" spans="1:26" ht="13.5" customHeight="1" x14ac:dyDescent="0.3">
      <c r="A250" s="98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</row>
    <row r="251" spans="1:26" ht="13.5" customHeight="1" x14ac:dyDescent="0.3">
      <c r="A251" s="98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</row>
    <row r="252" spans="1:26" ht="13.5" customHeight="1" x14ac:dyDescent="0.3">
      <c r="A252" s="98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</row>
    <row r="253" spans="1:26" ht="13.5" customHeight="1" x14ac:dyDescent="0.3">
      <c r="A253" s="98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</row>
    <row r="254" spans="1:26" ht="13.5" customHeight="1" x14ac:dyDescent="0.3">
      <c r="A254" s="98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</row>
    <row r="255" spans="1:26" ht="13.5" customHeight="1" x14ac:dyDescent="0.3">
      <c r="A255" s="98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</row>
    <row r="256" spans="1:26" ht="13.5" customHeight="1" x14ac:dyDescent="0.3">
      <c r="A256" s="98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</row>
    <row r="257" spans="1:26" ht="13.5" customHeight="1" x14ac:dyDescent="0.3">
      <c r="A257" s="98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</row>
    <row r="258" spans="1:26" ht="13.5" customHeight="1" x14ac:dyDescent="0.3">
      <c r="A258" s="98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</row>
    <row r="259" spans="1:26" ht="13.5" customHeight="1" x14ac:dyDescent="0.3">
      <c r="A259" s="98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</row>
    <row r="260" spans="1:26" ht="13.5" customHeight="1" x14ac:dyDescent="0.3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</row>
    <row r="261" spans="1:26" ht="13.5" customHeight="1" x14ac:dyDescent="0.3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</row>
    <row r="262" spans="1:26" ht="13.5" customHeight="1" x14ac:dyDescent="0.3">
      <c r="A262" s="98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</row>
    <row r="263" spans="1:26" ht="13.5" customHeight="1" x14ac:dyDescent="0.3">
      <c r="A263" s="98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</row>
    <row r="264" spans="1:26" ht="13.5" customHeight="1" x14ac:dyDescent="0.3">
      <c r="A264" s="98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</row>
    <row r="265" spans="1:26" ht="13.5" customHeight="1" x14ac:dyDescent="0.3">
      <c r="A265" s="98"/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</row>
    <row r="266" spans="1:26" ht="13.5" customHeight="1" x14ac:dyDescent="0.3">
      <c r="A266" s="98"/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</row>
    <row r="267" spans="1:26" ht="13.5" customHeight="1" x14ac:dyDescent="0.3">
      <c r="A267" s="98"/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</row>
    <row r="268" spans="1:26" ht="13.5" customHeight="1" x14ac:dyDescent="0.3">
      <c r="A268" s="98"/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</row>
    <row r="269" spans="1:26" ht="13.5" customHeight="1" x14ac:dyDescent="0.3">
      <c r="A269" s="98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</row>
    <row r="270" spans="1:26" ht="13.5" customHeight="1" x14ac:dyDescent="0.3">
      <c r="A270" s="98"/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</row>
    <row r="271" spans="1:26" ht="13.5" customHeight="1" x14ac:dyDescent="0.3">
      <c r="A271" s="98"/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</row>
    <row r="272" spans="1:26" ht="13.5" customHeight="1" x14ac:dyDescent="0.3">
      <c r="A272" s="98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</row>
    <row r="273" spans="1:26" ht="13.5" customHeight="1" x14ac:dyDescent="0.3">
      <c r="A273" s="98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</row>
    <row r="274" spans="1:26" ht="13.5" customHeight="1" x14ac:dyDescent="0.3">
      <c r="A274" s="98"/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</row>
    <row r="275" spans="1:26" ht="13.5" customHeight="1" x14ac:dyDescent="0.3">
      <c r="A275" s="98"/>
      <c r="B275" s="98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</row>
    <row r="276" spans="1:26" ht="13.5" customHeight="1" x14ac:dyDescent="0.3">
      <c r="A276" s="98"/>
      <c r="B276" s="98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</row>
    <row r="277" spans="1:26" ht="13.5" customHeight="1" x14ac:dyDescent="0.3">
      <c r="A277" s="98"/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</row>
    <row r="278" spans="1:26" ht="13.5" customHeight="1" x14ac:dyDescent="0.3">
      <c r="A278" s="98"/>
      <c r="B278" s="98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</row>
    <row r="279" spans="1:26" ht="13.5" customHeight="1" x14ac:dyDescent="0.3">
      <c r="A279" s="98"/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</row>
    <row r="280" spans="1:26" ht="13.5" customHeight="1" x14ac:dyDescent="0.3">
      <c r="A280" s="98"/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</row>
    <row r="281" spans="1:26" ht="13.5" customHeight="1" x14ac:dyDescent="0.3">
      <c r="A281" s="98"/>
      <c r="B281" s="98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</row>
    <row r="282" spans="1:26" ht="13.5" customHeight="1" x14ac:dyDescent="0.3">
      <c r="A282" s="98"/>
      <c r="B282" s="98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</row>
    <row r="283" spans="1:26" ht="13.5" customHeight="1" x14ac:dyDescent="0.3">
      <c r="A283" s="98"/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</row>
    <row r="284" spans="1:26" ht="13.5" customHeight="1" x14ac:dyDescent="0.3">
      <c r="A284" s="98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</row>
    <row r="285" spans="1:26" ht="13.5" customHeight="1" x14ac:dyDescent="0.3">
      <c r="A285" s="98"/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</row>
    <row r="286" spans="1:26" ht="13.5" customHeight="1" x14ac:dyDescent="0.3">
      <c r="A286" s="98"/>
      <c r="B286" s="98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</row>
    <row r="287" spans="1:26" ht="13.5" customHeight="1" x14ac:dyDescent="0.3">
      <c r="A287" s="98"/>
      <c r="B287" s="98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</row>
    <row r="288" spans="1:26" ht="13.5" customHeight="1" x14ac:dyDescent="0.3">
      <c r="A288" s="98"/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</row>
    <row r="289" spans="1:26" ht="13.5" customHeight="1" x14ac:dyDescent="0.3">
      <c r="A289" s="98"/>
      <c r="B289" s="98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</row>
    <row r="290" spans="1:26" ht="13.5" customHeight="1" x14ac:dyDescent="0.3">
      <c r="A290" s="98"/>
      <c r="B290" s="98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</row>
    <row r="291" spans="1:26" ht="13.5" customHeight="1" x14ac:dyDescent="0.3">
      <c r="A291" s="98"/>
      <c r="B291" s="98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</row>
    <row r="292" spans="1:26" ht="13.5" customHeight="1" x14ac:dyDescent="0.3">
      <c r="A292" s="98"/>
      <c r="B292" s="98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</row>
    <row r="293" spans="1:26" ht="13.5" customHeight="1" x14ac:dyDescent="0.3">
      <c r="A293" s="98"/>
      <c r="B293" s="98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</row>
    <row r="294" spans="1:26" ht="13.5" customHeight="1" x14ac:dyDescent="0.3">
      <c r="A294" s="98"/>
      <c r="B294" s="98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</row>
    <row r="295" spans="1:26" ht="13.5" customHeight="1" x14ac:dyDescent="0.3">
      <c r="A295" s="98"/>
      <c r="B295" s="98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</row>
    <row r="296" spans="1:26" ht="13.5" customHeight="1" x14ac:dyDescent="0.3">
      <c r="A296" s="98"/>
      <c r="B296" s="98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</row>
    <row r="297" spans="1:26" ht="13.5" customHeight="1" x14ac:dyDescent="0.3">
      <c r="A297" s="98"/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</row>
    <row r="298" spans="1:26" ht="13.5" customHeight="1" x14ac:dyDescent="0.3">
      <c r="A298" s="98"/>
      <c r="B298" s="98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</row>
    <row r="299" spans="1:26" ht="13.5" customHeight="1" x14ac:dyDescent="0.3">
      <c r="A299" s="98"/>
      <c r="B299" s="98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</row>
    <row r="300" spans="1:26" ht="13.5" customHeight="1" x14ac:dyDescent="0.3">
      <c r="A300" s="98"/>
      <c r="B300" s="98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</row>
    <row r="301" spans="1:26" ht="13.5" customHeight="1" x14ac:dyDescent="0.3">
      <c r="A301" s="98"/>
      <c r="B301" s="98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</row>
    <row r="302" spans="1:26" ht="13.5" customHeight="1" x14ac:dyDescent="0.3">
      <c r="A302" s="98"/>
      <c r="B302" s="98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</row>
    <row r="303" spans="1:26" ht="13.5" customHeight="1" x14ac:dyDescent="0.3">
      <c r="A303" s="98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</row>
    <row r="304" spans="1:26" ht="13.5" customHeight="1" x14ac:dyDescent="0.3">
      <c r="A304" s="98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</row>
    <row r="305" spans="1:26" ht="13.5" customHeight="1" x14ac:dyDescent="0.3">
      <c r="A305" s="98"/>
      <c r="B305" s="98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</row>
    <row r="306" spans="1:26" ht="13.5" customHeight="1" x14ac:dyDescent="0.3">
      <c r="A306" s="98"/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</row>
    <row r="307" spans="1:26" ht="13.5" customHeight="1" x14ac:dyDescent="0.3">
      <c r="A307" s="98"/>
      <c r="B307" s="98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</row>
    <row r="308" spans="1:26" ht="13.5" customHeight="1" x14ac:dyDescent="0.3">
      <c r="A308" s="98"/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</row>
    <row r="309" spans="1:26" ht="13.5" customHeight="1" x14ac:dyDescent="0.3">
      <c r="A309" s="98"/>
      <c r="B309" s="98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</row>
    <row r="310" spans="1:26" ht="13.5" customHeight="1" x14ac:dyDescent="0.3">
      <c r="A310" s="98"/>
      <c r="B310" s="98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</row>
    <row r="311" spans="1:26" ht="13.5" customHeight="1" x14ac:dyDescent="0.3">
      <c r="A311" s="98"/>
      <c r="B311" s="98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</row>
    <row r="312" spans="1:26" ht="13.5" customHeight="1" x14ac:dyDescent="0.3">
      <c r="A312" s="98"/>
      <c r="B312" s="98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</row>
    <row r="313" spans="1:26" ht="13.5" customHeight="1" x14ac:dyDescent="0.3">
      <c r="A313" s="98"/>
      <c r="B313" s="98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</row>
    <row r="314" spans="1:26" ht="13.5" customHeight="1" x14ac:dyDescent="0.3">
      <c r="A314" s="98"/>
      <c r="B314" s="98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</row>
    <row r="315" spans="1:26" ht="13.5" customHeight="1" x14ac:dyDescent="0.3">
      <c r="A315" s="98"/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</row>
    <row r="316" spans="1:26" ht="13.5" customHeight="1" x14ac:dyDescent="0.3">
      <c r="A316" s="98"/>
      <c r="B316" s="98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</row>
    <row r="317" spans="1:26" ht="13.5" customHeight="1" x14ac:dyDescent="0.3">
      <c r="A317" s="98"/>
      <c r="B317" s="98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</row>
    <row r="318" spans="1:26" ht="13.5" customHeight="1" x14ac:dyDescent="0.3">
      <c r="A318" s="98"/>
      <c r="B318" s="98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</row>
    <row r="319" spans="1:26" ht="13.5" customHeight="1" x14ac:dyDescent="0.3">
      <c r="A319" s="98"/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</row>
    <row r="320" spans="1:26" ht="13.5" customHeight="1" x14ac:dyDescent="0.3">
      <c r="A320" s="98"/>
      <c r="B320" s="98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</row>
    <row r="321" spans="1:26" ht="13.5" customHeight="1" x14ac:dyDescent="0.3">
      <c r="A321" s="98"/>
      <c r="B321" s="98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</row>
    <row r="322" spans="1:26" ht="13.5" customHeight="1" x14ac:dyDescent="0.3">
      <c r="A322" s="98"/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</row>
    <row r="323" spans="1:26" ht="13.5" customHeight="1" x14ac:dyDescent="0.3">
      <c r="A323" s="98"/>
      <c r="B323" s="98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</row>
    <row r="324" spans="1:26" ht="13.5" customHeight="1" x14ac:dyDescent="0.3">
      <c r="A324" s="98"/>
      <c r="B324" s="98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</row>
    <row r="325" spans="1:26" ht="13.5" customHeight="1" x14ac:dyDescent="0.3">
      <c r="A325" s="98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</row>
    <row r="326" spans="1:26" ht="13.5" customHeight="1" x14ac:dyDescent="0.3">
      <c r="A326" s="98"/>
      <c r="B326" s="98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</row>
    <row r="327" spans="1:26" ht="13.5" customHeight="1" x14ac:dyDescent="0.3">
      <c r="A327" s="98"/>
      <c r="B327" s="98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</row>
    <row r="328" spans="1:26" ht="13.5" customHeight="1" x14ac:dyDescent="0.3">
      <c r="A328" s="98"/>
      <c r="B328" s="98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</row>
    <row r="329" spans="1:26" ht="13.5" customHeight="1" x14ac:dyDescent="0.3">
      <c r="A329" s="98"/>
      <c r="B329" s="98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</row>
    <row r="330" spans="1:26" ht="13.5" customHeight="1" x14ac:dyDescent="0.3">
      <c r="A330" s="98"/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</row>
    <row r="331" spans="1:26" ht="13.5" customHeight="1" x14ac:dyDescent="0.3">
      <c r="A331" s="98"/>
      <c r="B331" s="98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</row>
    <row r="332" spans="1:26" ht="13.5" customHeight="1" x14ac:dyDescent="0.3">
      <c r="A332" s="98"/>
      <c r="B332" s="98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</row>
    <row r="333" spans="1:26" ht="13.5" customHeight="1" x14ac:dyDescent="0.3">
      <c r="A333" s="98"/>
      <c r="B333" s="98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</row>
    <row r="334" spans="1:26" ht="13.5" customHeight="1" x14ac:dyDescent="0.3">
      <c r="A334" s="98"/>
      <c r="B334" s="98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</row>
    <row r="335" spans="1:26" ht="13.5" customHeight="1" x14ac:dyDescent="0.3">
      <c r="A335" s="98"/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</row>
    <row r="336" spans="1:26" ht="13.5" customHeight="1" x14ac:dyDescent="0.3">
      <c r="A336" s="98"/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</row>
    <row r="337" spans="1:26" ht="13.5" customHeight="1" x14ac:dyDescent="0.3">
      <c r="A337" s="98"/>
      <c r="B337" s="98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</row>
    <row r="338" spans="1:26" ht="13.5" customHeight="1" x14ac:dyDescent="0.3">
      <c r="A338" s="98"/>
      <c r="B338" s="98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</row>
    <row r="339" spans="1:26" ht="13.5" customHeight="1" x14ac:dyDescent="0.3">
      <c r="A339" s="98"/>
      <c r="B339" s="98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</row>
    <row r="340" spans="1:26" ht="13.5" customHeight="1" x14ac:dyDescent="0.3">
      <c r="A340" s="98"/>
      <c r="B340" s="98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</row>
    <row r="341" spans="1:26" ht="13.5" customHeight="1" x14ac:dyDescent="0.3">
      <c r="A341" s="98"/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</row>
    <row r="342" spans="1:26" ht="13.5" customHeight="1" x14ac:dyDescent="0.3">
      <c r="A342" s="98"/>
      <c r="B342" s="98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</row>
    <row r="343" spans="1:26" ht="13.5" customHeight="1" x14ac:dyDescent="0.3">
      <c r="A343" s="98"/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</row>
    <row r="344" spans="1:26" ht="13.5" customHeight="1" x14ac:dyDescent="0.3">
      <c r="A344" s="98"/>
      <c r="B344" s="98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</row>
    <row r="345" spans="1:26" ht="13.5" customHeight="1" x14ac:dyDescent="0.3">
      <c r="A345" s="98"/>
      <c r="B345" s="98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</row>
    <row r="346" spans="1:26" ht="13.5" customHeight="1" x14ac:dyDescent="0.3">
      <c r="A346" s="98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</row>
    <row r="347" spans="1:26" ht="13.5" customHeight="1" x14ac:dyDescent="0.3">
      <c r="A347" s="98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</row>
    <row r="348" spans="1:26" ht="13.5" customHeight="1" x14ac:dyDescent="0.3">
      <c r="A348" s="98"/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</row>
    <row r="349" spans="1:26" ht="13.5" customHeight="1" x14ac:dyDescent="0.3">
      <c r="A349" s="98"/>
      <c r="B349" s="98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</row>
    <row r="350" spans="1:26" ht="13.5" customHeight="1" x14ac:dyDescent="0.3">
      <c r="A350" s="98"/>
      <c r="B350" s="98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</row>
    <row r="351" spans="1:26" ht="13.5" customHeight="1" x14ac:dyDescent="0.3">
      <c r="A351" s="98"/>
      <c r="B351" s="98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</row>
    <row r="352" spans="1:26" ht="13.5" customHeight="1" x14ac:dyDescent="0.3">
      <c r="A352" s="98"/>
      <c r="B352" s="98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</row>
    <row r="353" spans="1:26" ht="13.5" customHeight="1" x14ac:dyDescent="0.3">
      <c r="A353" s="98"/>
      <c r="B353" s="98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</row>
    <row r="354" spans="1:26" ht="13.5" customHeight="1" x14ac:dyDescent="0.3">
      <c r="A354" s="98"/>
      <c r="B354" s="98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</row>
    <row r="355" spans="1:26" ht="13.5" customHeight="1" x14ac:dyDescent="0.3">
      <c r="A355" s="98"/>
      <c r="B355" s="98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</row>
    <row r="356" spans="1:26" ht="13.5" customHeight="1" x14ac:dyDescent="0.3">
      <c r="A356" s="98"/>
      <c r="B356" s="98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</row>
    <row r="357" spans="1:26" ht="13.5" customHeight="1" x14ac:dyDescent="0.3">
      <c r="A357" s="98"/>
      <c r="B357" s="98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</row>
    <row r="358" spans="1:26" ht="13.5" customHeight="1" x14ac:dyDescent="0.3">
      <c r="A358" s="98"/>
      <c r="B358" s="98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</row>
    <row r="359" spans="1:26" ht="13.5" customHeight="1" x14ac:dyDescent="0.3">
      <c r="A359" s="98"/>
      <c r="B359" s="98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</row>
    <row r="360" spans="1:26" ht="13.5" customHeight="1" x14ac:dyDescent="0.3">
      <c r="A360" s="98"/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</row>
    <row r="361" spans="1:26" ht="13.5" customHeight="1" x14ac:dyDescent="0.3">
      <c r="A361" s="98"/>
      <c r="B361" s="98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</row>
    <row r="362" spans="1:26" ht="13.5" customHeight="1" x14ac:dyDescent="0.3">
      <c r="A362" s="98"/>
      <c r="B362" s="98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</row>
    <row r="363" spans="1:26" ht="13.5" customHeight="1" x14ac:dyDescent="0.3">
      <c r="A363" s="98"/>
      <c r="B363" s="98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</row>
    <row r="364" spans="1:26" ht="13.5" customHeight="1" x14ac:dyDescent="0.3">
      <c r="A364" s="98"/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</row>
    <row r="365" spans="1:26" ht="13.5" customHeight="1" x14ac:dyDescent="0.3">
      <c r="A365" s="98"/>
      <c r="B365" s="98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</row>
    <row r="366" spans="1:26" ht="13.5" customHeight="1" x14ac:dyDescent="0.3">
      <c r="A366" s="98"/>
      <c r="B366" s="98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</row>
    <row r="367" spans="1:26" ht="13.5" customHeight="1" x14ac:dyDescent="0.3">
      <c r="A367" s="98"/>
      <c r="B367" s="98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</row>
    <row r="368" spans="1:26" ht="13.5" customHeight="1" x14ac:dyDescent="0.3">
      <c r="A368" s="98"/>
      <c r="B368" s="98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</row>
    <row r="369" spans="1:26" ht="13.5" customHeight="1" x14ac:dyDescent="0.3">
      <c r="A369" s="98"/>
      <c r="B369" s="98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</row>
    <row r="370" spans="1:26" ht="13.5" customHeight="1" x14ac:dyDescent="0.3">
      <c r="A370" s="98"/>
      <c r="B370" s="98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</row>
    <row r="371" spans="1:26" ht="13.5" customHeight="1" x14ac:dyDescent="0.3">
      <c r="A371" s="98"/>
      <c r="B371" s="98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</row>
    <row r="372" spans="1:26" ht="13.5" customHeight="1" x14ac:dyDescent="0.3">
      <c r="A372" s="98"/>
      <c r="B372" s="98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</row>
    <row r="373" spans="1:26" ht="13.5" customHeight="1" x14ac:dyDescent="0.3">
      <c r="A373" s="98"/>
      <c r="B373" s="98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</row>
    <row r="374" spans="1:26" ht="13.5" customHeight="1" x14ac:dyDescent="0.3">
      <c r="A374" s="98"/>
      <c r="B374" s="98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</row>
    <row r="375" spans="1:26" ht="13.5" customHeight="1" x14ac:dyDescent="0.3">
      <c r="A375" s="98"/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</row>
    <row r="376" spans="1:26" ht="13.5" customHeight="1" x14ac:dyDescent="0.3">
      <c r="A376" s="98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</row>
    <row r="377" spans="1:26" ht="13.5" customHeight="1" x14ac:dyDescent="0.3">
      <c r="A377" s="98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</row>
    <row r="378" spans="1:26" ht="13.5" customHeight="1" x14ac:dyDescent="0.3">
      <c r="A378" s="98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</row>
    <row r="379" spans="1:26" ht="13.5" customHeight="1" x14ac:dyDescent="0.3">
      <c r="A379" s="98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</row>
    <row r="380" spans="1:26" ht="13.5" customHeight="1" x14ac:dyDescent="0.3">
      <c r="A380" s="98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</row>
    <row r="381" spans="1:26" ht="13.5" customHeight="1" x14ac:dyDescent="0.3">
      <c r="A381" s="98"/>
      <c r="B381" s="98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</row>
    <row r="382" spans="1:26" ht="13.5" customHeight="1" x14ac:dyDescent="0.3">
      <c r="A382" s="98"/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</row>
    <row r="383" spans="1:26" ht="13.5" customHeight="1" x14ac:dyDescent="0.3">
      <c r="A383" s="98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</row>
    <row r="384" spans="1:26" ht="13.5" customHeight="1" x14ac:dyDescent="0.3">
      <c r="A384" s="98"/>
      <c r="B384" s="98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</row>
    <row r="385" spans="1:26" ht="13.5" customHeight="1" x14ac:dyDescent="0.3">
      <c r="A385" s="98"/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</row>
    <row r="386" spans="1:26" ht="13.5" customHeight="1" x14ac:dyDescent="0.3">
      <c r="A386" s="98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</row>
    <row r="387" spans="1:26" ht="13.5" customHeight="1" x14ac:dyDescent="0.3">
      <c r="A387" s="98"/>
      <c r="B387" s="98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</row>
    <row r="388" spans="1:26" ht="13.5" customHeight="1" x14ac:dyDescent="0.3">
      <c r="A388" s="98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</row>
    <row r="389" spans="1:26" ht="13.5" customHeight="1" x14ac:dyDescent="0.3">
      <c r="A389" s="98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</row>
    <row r="390" spans="1:26" ht="13.5" customHeight="1" x14ac:dyDescent="0.3">
      <c r="A390" s="98"/>
      <c r="B390" s="98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</row>
    <row r="391" spans="1:26" ht="13.5" customHeight="1" x14ac:dyDescent="0.3">
      <c r="A391" s="98"/>
      <c r="B391" s="98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</row>
    <row r="392" spans="1:26" ht="13.5" customHeight="1" x14ac:dyDescent="0.3">
      <c r="A392" s="98"/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</row>
    <row r="393" spans="1:26" ht="13.5" customHeight="1" x14ac:dyDescent="0.3">
      <c r="A393" s="98"/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</row>
    <row r="394" spans="1:26" ht="13.5" customHeight="1" x14ac:dyDescent="0.3">
      <c r="A394" s="98"/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</row>
    <row r="395" spans="1:26" ht="13.5" customHeight="1" x14ac:dyDescent="0.3">
      <c r="A395" s="98"/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</row>
    <row r="396" spans="1:26" ht="13.5" customHeight="1" x14ac:dyDescent="0.3">
      <c r="A396" s="98"/>
      <c r="B396" s="98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</row>
    <row r="397" spans="1:26" ht="13.5" customHeight="1" x14ac:dyDescent="0.3">
      <c r="A397" s="98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</row>
    <row r="398" spans="1:26" ht="13.5" customHeight="1" x14ac:dyDescent="0.3">
      <c r="A398" s="98"/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</row>
    <row r="399" spans="1:26" ht="13.5" customHeight="1" x14ac:dyDescent="0.3">
      <c r="A399" s="98"/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</row>
    <row r="400" spans="1:26" ht="13.5" customHeight="1" x14ac:dyDescent="0.3">
      <c r="A400" s="98"/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</row>
    <row r="401" spans="1:26" ht="13.5" customHeight="1" x14ac:dyDescent="0.3">
      <c r="A401" s="98"/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</row>
    <row r="402" spans="1:26" ht="13.5" customHeight="1" x14ac:dyDescent="0.3">
      <c r="A402" s="98"/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</row>
    <row r="403" spans="1:26" ht="13.5" customHeight="1" x14ac:dyDescent="0.3">
      <c r="A403" s="98"/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</row>
    <row r="404" spans="1:26" ht="13.5" customHeight="1" x14ac:dyDescent="0.3">
      <c r="A404" s="98"/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</row>
    <row r="405" spans="1:26" ht="13.5" customHeight="1" x14ac:dyDescent="0.3">
      <c r="A405" s="98"/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</row>
    <row r="406" spans="1:26" ht="13.5" customHeight="1" x14ac:dyDescent="0.3">
      <c r="A406" s="98"/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</row>
    <row r="407" spans="1:26" ht="13.5" customHeight="1" x14ac:dyDescent="0.3">
      <c r="A407" s="98"/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</row>
    <row r="408" spans="1:26" ht="13.5" customHeight="1" x14ac:dyDescent="0.3">
      <c r="A408" s="98"/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</row>
    <row r="409" spans="1:26" ht="13.5" customHeight="1" x14ac:dyDescent="0.3">
      <c r="A409" s="98"/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</row>
    <row r="410" spans="1:26" ht="13.5" customHeight="1" x14ac:dyDescent="0.3">
      <c r="A410" s="98"/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</row>
    <row r="411" spans="1:26" ht="13.5" customHeight="1" x14ac:dyDescent="0.3">
      <c r="A411" s="98"/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</row>
    <row r="412" spans="1:26" ht="13.5" customHeight="1" x14ac:dyDescent="0.3">
      <c r="A412" s="98"/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</row>
    <row r="413" spans="1:26" ht="13.5" customHeight="1" x14ac:dyDescent="0.3">
      <c r="A413" s="98"/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</row>
    <row r="414" spans="1:26" ht="13.5" customHeight="1" x14ac:dyDescent="0.3">
      <c r="A414" s="98"/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</row>
    <row r="415" spans="1:26" ht="13.5" customHeight="1" x14ac:dyDescent="0.3">
      <c r="A415" s="98"/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</row>
    <row r="416" spans="1:26" ht="13.5" customHeight="1" x14ac:dyDescent="0.3">
      <c r="A416" s="98"/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</row>
    <row r="417" spans="1:26" ht="13.5" customHeight="1" x14ac:dyDescent="0.3">
      <c r="A417" s="98"/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</row>
    <row r="418" spans="1:26" ht="13.5" customHeight="1" x14ac:dyDescent="0.3">
      <c r="A418" s="98"/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</row>
    <row r="419" spans="1:26" ht="13.5" customHeight="1" x14ac:dyDescent="0.3">
      <c r="A419" s="98"/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</row>
    <row r="420" spans="1:26" ht="13.5" customHeight="1" x14ac:dyDescent="0.3">
      <c r="A420" s="98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</row>
    <row r="421" spans="1:26" ht="13.5" customHeight="1" x14ac:dyDescent="0.3">
      <c r="A421" s="98"/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</row>
    <row r="422" spans="1:26" ht="13.5" customHeight="1" x14ac:dyDescent="0.3">
      <c r="A422" s="98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</row>
    <row r="423" spans="1:26" ht="13.5" customHeight="1" x14ac:dyDescent="0.3">
      <c r="A423" s="98"/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</row>
    <row r="424" spans="1:26" ht="13.5" customHeight="1" x14ac:dyDescent="0.3">
      <c r="A424" s="98"/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</row>
    <row r="425" spans="1:26" ht="13.5" customHeight="1" x14ac:dyDescent="0.3">
      <c r="A425" s="98"/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</row>
    <row r="426" spans="1:26" ht="13.5" customHeight="1" x14ac:dyDescent="0.3">
      <c r="A426" s="98"/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</row>
    <row r="427" spans="1:26" ht="13.5" customHeight="1" x14ac:dyDescent="0.3">
      <c r="A427" s="98"/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</row>
    <row r="428" spans="1:26" ht="13.5" customHeight="1" x14ac:dyDescent="0.3">
      <c r="A428" s="98"/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</row>
    <row r="429" spans="1:26" ht="13.5" customHeight="1" x14ac:dyDescent="0.3">
      <c r="A429" s="98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</row>
    <row r="430" spans="1:26" ht="13.5" customHeight="1" x14ac:dyDescent="0.3">
      <c r="A430" s="98"/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</row>
    <row r="431" spans="1:26" ht="13.5" customHeight="1" x14ac:dyDescent="0.3">
      <c r="A431" s="98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</row>
    <row r="432" spans="1:26" ht="13.5" customHeight="1" x14ac:dyDescent="0.3">
      <c r="A432" s="98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</row>
    <row r="433" spans="1:26" ht="13.5" customHeight="1" x14ac:dyDescent="0.3">
      <c r="A433" s="98"/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</row>
    <row r="434" spans="1:26" ht="13.5" customHeight="1" x14ac:dyDescent="0.3">
      <c r="A434" s="98"/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</row>
    <row r="435" spans="1:26" ht="13.5" customHeight="1" x14ac:dyDescent="0.3">
      <c r="A435" s="98"/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</row>
    <row r="436" spans="1:26" ht="13.5" customHeight="1" x14ac:dyDescent="0.3">
      <c r="A436" s="98"/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</row>
    <row r="437" spans="1:26" ht="13.5" customHeight="1" x14ac:dyDescent="0.3">
      <c r="A437" s="98"/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</row>
    <row r="438" spans="1:26" ht="13.5" customHeight="1" x14ac:dyDescent="0.3">
      <c r="A438" s="98"/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</row>
    <row r="439" spans="1:26" ht="13.5" customHeight="1" x14ac:dyDescent="0.3">
      <c r="A439" s="98"/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</row>
    <row r="440" spans="1:26" ht="13.5" customHeight="1" x14ac:dyDescent="0.3">
      <c r="A440" s="98"/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</row>
    <row r="441" spans="1:26" ht="13.5" customHeight="1" x14ac:dyDescent="0.3">
      <c r="A441" s="98"/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</row>
    <row r="442" spans="1:26" ht="13.5" customHeight="1" x14ac:dyDescent="0.3">
      <c r="A442" s="98"/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</row>
    <row r="443" spans="1:26" ht="13.5" customHeight="1" x14ac:dyDescent="0.3">
      <c r="A443" s="98"/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</row>
    <row r="444" spans="1:26" ht="13.5" customHeight="1" x14ac:dyDescent="0.3">
      <c r="A444" s="98"/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</row>
    <row r="445" spans="1:26" ht="13.5" customHeight="1" x14ac:dyDescent="0.3">
      <c r="A445" s="98"/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</row>
    <row r="446" spans="1:26" ht="13.5" customHeight="1" x14ac:dyDescent="0.3">
      <c r="A446" s="98"/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</row>
    <row r="447" spans="1:26" ht="13.5" customHeight="1" x14ac:dyDescent="0.3">
      <c r="A447" s="98"/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</row>
    <row r="448" spans="1:26" ht="13.5" customHeight="1" x14ac:dyDescent="0.3">
      <c r="A448" s="98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</row>
    <row r="449" spans="1:26" ht="13.5" customHeight="1" x14ac:dyDescent="0.3">
      <c r="A449" s="98"/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</row>
    <row r="450" spans="1:26" ht="13.5" customHeight="1" x14ac:dyDescent="0.3">
      <c r="A450" s="98"/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</row>
    <row r="451" spans="1:26" ht="13.5" customHeight="1" x14ac:dyDescent="0.3">
      <c r="A451" s="98"/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</row>
    <row r="452" spans="1:26" ht="13.5" customHeight="1" x14ac:dyDescent="0.3">
      <c r="A452" s="98"/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</row>
    <row r="453" spans="1:26" ht="13.5" customHeight="1" x14ac:dyDescent="0.3">
      <c r="A453" s="98"/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</row>
    <row r="454" spans="1:26" ht="13.5" customHeight="1" x14ac:dyDescent="0.3">
      <c r="A454" s="98"/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</row>
    <row r="455" spans="1:26" ht="13.5" customHeight="1" x14ac:dyDescent="0.3">
      <c r="A455" s="98"/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</row>
    <row r="456" spans="1:26" ht="13.5" customHeight="1" x14ac:dyDescent="0.3">
      <c r="A456" s="98"/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</row>
    <row r="457" spans="1:26" ht="13.5" customHeight="1" x14ac:dyDescent="0.3">
      <c r="A457" s="98"/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</row>
    <row r="458" spans="1:26" ht="13.5" customHeight="1" x14ac:dyDescent="0.3">
      <c r="A458" s="98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</row>
    <row r="459" spans="1:26" ht="13.5" customHeight="1" x14ac:dyDescent="0.3">
      <c r="A459" s="98"/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</row>
    <row r="460" spans="1:26" ht="13.5" customHeight="1" x14ac:dyDescent="0.3">
      <c r="A460" s="98"/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</row>
    <row r="461" spans="1:26" ht="13.5" customHeight="1" x14ac:dyDescent="0.3">
      <c r="A461" s="98"/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</row>
    <row r="462" spans="1:26" ht="13.5" customHeight="1" x14ac:dyDescent="0.3">
      <c r="A462" s="98"/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</row>
    <row r="463" spans="1:26" ht="13.5" customHeight="1" x14ac:dyDescent="0.3">
      <c r="A463" s="98"/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</row>
    <row r="464" spans="1:26" ht="13.5" customHeight="1" x14ac:dyDescent="0.3">
      <c r="A464" s="98"/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</row>
    <row r="465" spans="1:26" ht="13.5" customHeight="1" x14ac:dyDescent="0.3">
      <c r="A465" s="98"/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</row>
    <row r="466" spans="1:26" ht="13.5" customHeight="1" x14ac:dyDescent="0.3">
      <c r="A466" s="98"/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</row>
    <row r="467" spans="1:26" ht="13.5" customHeight="1" x14ac:dyDescent="0.3">
      <c r="A467" s="98"/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</row>
    <row r="468" spans="1:26" ht="13.5" customHeight="1" x14ac:dyDescent="0.3">
      <c r="A468" s="98"/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</row>
    <row r="469" spans="1:26" ht="13.5" customHeight="1" x14ac:dyDescent="0.3">
      <c r="A469" s="98"/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</row>
    <row r="470" spans="1:26" ht="13.5" customHeight="1" x14ac:dyDescent="0.3">
      <c r="A470" s="98"/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</row>
    <row r="471" spans="1:26" ht="13.5" customHeight="1" x14ac:dyDescent="0.3">
      <c r="A471" s="98"/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</row>
    <row r="472" spans="1:26" ht="13.5" customHeight="1" x14ac:dyDescent="0.3">
      <c r="A472" s="98"/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</row>
    <row r="473" spans="1:26" ht="13.5" customHeight="1" x14ac:dyDescent="0.3">
      <c r="A473" s="98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</row>
    <row r="474" spans="1:26" ht="13.5" customHeight="1" x14ac:dyDescent="0.3">
      <c r="A474" s="98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</row>
    <row r="475" spans="1:26" ht="13.5" customHeight="1" x14ac:dyDescent="0.3">
      <c r="A475" s="98"/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</row>
    <row r="476" spans="1:26" ht="13.5" customHeight="1" x14ac:dyDescent="0.3">
      <c r="A476" s="98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</row>
    <row r="477" spans="1:26" ht="13.5" customHeight="1" x14ac:dyDescent="0.3">
      <c r="A477" s="98"/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</row>
    <row r="478" spans="1:26" ht="13.5" customHeight="1" x14ac:dyDescent="0.3">
      <c r="A478" s="98"/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</row>
    <row r="479" spans="1:26" ht="13.5" customHeight="1" x14ac:dyDescent="0.3">
      <c r="A479" s="98"/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</row>
    <row r="480" spans="1:26" ht="13.5" customHeight="1" x14ac:dyDescent="0.3">
      <c r="A480" s="98"/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</row>
    <row r="481" spans="1:26" ht="13.5" customHeight="1" x14ac:dyDescent="0.3">
      <c r="A481" s="98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</row>
    <row r="482" spans="1:26" ht="13.5" customHeight="1" x14ac:dyDescent="0.3">
      <c r="A482" s="98"/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</row>
    <row r="483" spans="1:26" ht="13.5" customHeight="1" x14ac:dyDescent="0.3">
      <c r="A483" s="98"/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</row>
    <row r="484" spans="1:26" ht="13.5" customHeight="1" x14ac:dyDescent="0.3">
      <c r="A484" s="98"/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</row>
    <row r="485" spans="1:26" ht="13.5" customHeight="1" x14ac:dyDescent="0.3">
      <c r="A485" s="98"/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</row>
    <row r="486" spans="1:26" ht="13.5" customHeight="1" x14ac:dyDescent="0.3">
      <c r="A486" s="98"/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</row>
    <row r="487" spans="1:26" ht="13.5" customHeight="1" x14ac:dyDescent="0.3">
      <c r="A487" s="98"/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</row>
    <row r="488" spans="1:26" ht="13.5" customHeight="1" x14ac:dyDescent="0.3">
      <c r="A488" s="98"/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</row>
    <row r="489" spans="1:26" ht="13.5" customHeight="1" x14ac:dyDescent="0.3">
      <c r="A489" s="98"/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</row>
    <row r="490" spans="1:26" ht="13.5" customHeight="1" x14ac:dyDescent="0.3">
      <c r="A490" s="98"/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</row>
    <row r="491" spans="1:26" ht="13.5" customHeight="1" x14ac:dyDescent="0.3">
      <c r="A491" s="98"/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</row>
    <row r="492" spans="1:26" ht="13.5" customHeight="1" x14ac:dyDescent="0.3">
      <c r="A492" s="98"/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</row>
    <row r="493" spans="1:26" ht="13.5" customHeight="1" x14ac:dyDescent="0.3">
      <c r="A493" s="98"/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</row>
    <row r="494" spans="1:26" ht="13.5" customHeight="1" x14ac:dyDescent="0.3">
      <c r="A494" s="98"/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</row>
    <row r="495" spans="1:26" ht="13.5" customHeight="1" x14ac:dyDescent="0.3">
      <c r="A495" s="98"/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</row>
    <row r="496" spans="1:26" ht="13.5" customHeight="1" x14ac:dyDescent="0.3">
      <c r="A496" s="98"/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</row>
    <row r="497" spans="1:26" ht="13.5" customHeight="1" x14ac:dyDescent="0.3">
      <c r="A497" s="98"/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</row>
    <row r="498" spans="1:26" ht="13.5" customHeight="1" x14ac:dyDescent="0.3">
      <c r="A498" s="98"/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</row>
    <row r="499" spans="1:26" ht="13.5" customHeight="1" x14ac:dyDescent="0.3">
      <c r="A499" s="98"/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</row>
    <row r="500" spans="1:26" ht="13.5" customHeight="1" x14ac:dyDescent="0.3">
      <c r="A500" s="98"/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</row>
    <row r="501" spans="1:26" ht="13.5" customHeight="1" x14ac:dyDescent="0.3">
      <c r="A501" s="98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</row>
    <row r="502" spans="1:26" ht="13.5" customHeight="1" x14ac:dyDescent="0.3">
      <c r="A502" s="98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</row>
    <row r="503" spans="1:26" ht="13.5" customHeight="1" x14ac:dyDescent="0.3">
      <c r="A503" s="98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</row>
    <row r="504" spans="1:26" ht="13.5" customHeight="1" x14ac:dyDescent="0.3">
      <c r="A504" s="98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</row>
    <row r="505" spans="1:26" ht="13.5" customHeight="1" x14ac:dyDescent="0.3">
      <c r="A505" s="98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</row>
    <row r="506" spans="1:26" ht="13.5" customHeight="1" x14ac:dyDescent="0.3">
      <c r="A506" s="98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</row>
    <row r="507" spans="1:26" ht="13.5" customHeight="1" x14ac:dyDescent="0.3">
      <c r="A507" s="98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</row>
    <row r="508" spans="1:26" ht="13.5" customHeight="1" x14ac:dyDescent="0.3">
      <c r="A508" s="98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</row>
    <row r="509" spans="1:26" ht="13.5" customHeight="1" x14ac:dyDescent="0.3">
      <c r="A509" s="98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</row>
    <row r="510" spans="1:26" ht="13.5" customHeight="1" x14ac:dyDescent="0.3">
      <c r="A510" s="98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</row>
    <row r="511" spans="1:26" ht="13.5" customHeight="1" x14ac:dyDescent="0.3">
      <c r="A511" s="98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</row>
    <row r="512" spans="1:26" ht="13.5" customHeight="1" x14ac:dyDescent="0.3">
      <c r="A512" s="98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</row>
    <row r="513" spans="1:26" ht="13.5" customHeight="1" x14ac:dyDescent="0.3">
      <c r="A513" s="98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</row>
    <row r="514" spans="1:26" ht="13.5" customHeight="1" x14ac:dyDescent="0.3">
      <c r="A514" s="98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</row>
    <row r="515" spans="1:26" ht="13.5" customHeight="1" x14ac:dyDescent="0.3">
      <c r="A515" s="98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</row>
    <row r="516" spans="1:26" ht="13.5" customHeight="1" x14ac:dyDescent="0.3">
      <c r="A516" s="98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</row>
    <row r="517" spans="1:26" ht="13.5" customHeight="1" x14ac:dyDescent="0.3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</row>
    <row r="518" spans="1:26" ht="13.5" customHeight="1" x14ac:dyDescent="0.3">
      <c r="A518" s="98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</row>
    <row r="519" spans="1:26" ht="13.5" customHeight="1" x14ac:dyDescent="0.3">
      <c r="A519" s="98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</row>
    <row r="520" spans="1:26" ht="13.5" customHeight="1" x14ac:dyDescent="0.3">
      <c r="A520" s="98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</row>
    <row r="521" spans="1:26" ht="13.5" customHeight="1" x14ac:dyDescent="0.3">
      <c r="A521" s="98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</row>
    <row r="522" spans="1:26" ht="13.5" customHeight="1" x14ac:dyDescent="0.3">
      <c r="A522" s="98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</row>
    <row r="523" spans="1:26" ht="13.5" customHeight="1" x14ac:dyDescent="0.3">
      <c r="A523" s="98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</row>
    <row r="524" spans="1:26" ht="13.5" customHeight="1" x14ac:dyDescent="0.3">
      <c r="A524" s="98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</row>
    <row r="525" spans="1:26" ht="13.5" customHeight="1" x14ac:dyDescent="0.3">
      <c r="A525" s="98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</row>
    <row r="526" spans="1:26" ht="13.5" customHeight="1" x14ac:dyDescent="0.3">
      <c r="A526" s="98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</row>
    <row r="527" spans="1:26" ht="13.5" customHeight="1" x14ac:dyDescent="0.3">
      <c r="A527" s="98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</row>
    <row r="528" spans="1:26" ht="13.5" customHeight="1" x14ac:dyDescent="0.3">
      <c r="A528" s="98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</row>
    <row r="529" spans="1:26" ht="13.5" customHeight="1" x14ac:dyDescent="0.3">
      <c r="A529" s="98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</row>
    <row r="530" spans="1:26" ht="13.5" customHeight="1" x14ac:dyDescent="0.3">
      <c r="A530" s="98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</row>
    <row r="531" spans="1:26" ht="13.5" customHeight="1" x14ac:dyDescent="0.3">
      <c r="A531" s="98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</row>
    <row r="532" spans="1:26" ht="13.5" customHeight="1" x14ac:dyDescent="0.3">
      <c r="A532" s="98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</row>
    <row r="533" spans="1:26" ht="13.5" customHeight="1" x14ac:dyDescent="0.3">
      <c r="A533" s="98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</row>
    <row r="534" spans="1:26" ht="13.5" customHeight="1" x14ac:dyDescent="0.3">
      <c r="A534" s="98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</row>
    <row r="535" spans="1:26" ht="13.5" customHeight="1" x14ac:dyDescent="0.3">
      <c r="A535" s="98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</row>
    <row r="536" spans="1:26" ht="13.5" customHeight="1" x14ac:dyDescent="0.3">
      <c r="A536" s="98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</row>
    <row r="537" spans="1:26" ht="13.5" customHeight="1" x14ac:dyDescent="0.3">
      <c r="A537" s="98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</row>
    <row r="538" spans="1:26" ht="13.5" customHeight="1" x14ac:dyDescent="0.3">
      <c r="A538" s="98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</row>
    <row r="539" spans="1:26" ht="13.5" customHeight="1" x14ac:dyDescent="0.3">
      <c r="A539" s="98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</row>
    <row r="540" spans="1:26" ht="13.5" customHeight="1" x14ac:dyDescent="0.3">
      <c r="A540" s="98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</row>
    <row r="541" spans="1:26" ht="13.5" customHeight="1" x14ac:dyDescent="0.3">
      <c r="A541" s="98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</row>
    <row r="542" spans="1:26" ht="13.5" customHeight="1" x14ac:dyDescent="0.3">
      <c r="A542" s="98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</row>
    <row r="543" spans="1:26" ht="13.5" customHeight="1" x14ac:dyDescent="0.3">
      <c r="A543" s="98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</row>
    <row r="544" spans="1:26" ht="13.5" customHeight="1" x14ac:dyDescent="0.3">
      <c r="A544" s="98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</row>
    <row r="545" spans="1:26" ht="13.5" customHeight="1" x14ac:dyDescent="0.3">
      <c r="A545" s="98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</row>
    <row r="546" spans="1:26" ht="13.5" customHeight="1" x14ac:dyDescent="0.3">
      <c r="A546" s="98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</row>
    <row r="547" spans="1:26" ht="13.5" customHeight="1" x14ac:dyDescent="0.3">
      <c r="A547" s="98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</row>
    <row r="548" spans="1:26" ht="13.5" customHeight="1" x14ac:dyDescent="0.3">
      <c r="A548" s="98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</row>
    <row r="549" spans="1:26" ht="13.5" customHeight="1" x14ac:dyDescent="0.3">
      <c r="A549" s="98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</row>
    <row r="550" spans="1:26" ht="13.5" customHeight="1" x14ac:dyDescent="0.3">
      <c r="A550" s="98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</row>
    <row r="551" spans="1:26" ht="13.5" customHeight="1" x14ac:dyDescent="0.3">
      <c r="A551" s="98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</row>
    <row r="552" spans="1:26" ht="13.5" customHeight="1" x14ac:dyDescent="0.3">
      <c r="A552" s="98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</row>
    <row r="553" spans="1:26" ht="13.5" customHeight="1" x14ac:dyDescent="0.3">
      <c r="A553" s="98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</row>
    <row r="554" spans="1:26" ht="13.5" customHeight="1" x14ac:dyDescent="0.3">
      <c r="A554" s="98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</row>
    <row r="555" spans="1:26" ht="13.5" customHeight="1" x14ac:dyDescent="0.3">
      <c r="A555" s="98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</row>
    <row r="556" spans="1:26" ht="13.5" customHeight="1" x14ac:dyDescent="0.3">
      <c r="A556" s="98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</row>
    <row r="557" spans="1:26" ht="13.5" customHeight="1" x14ac:dyDescent="0.3">
      <c r="A557" s="98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</row>
    <row r="558" spans="1:26" ht="13.5" customHeight="1" x14ac:dyDescent="0.3">
      <c r="A558" s="98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</row>
    <row r="559" spans="1:26" ht="13.5" customHeight="1" x14ac:dyDescent="0.3">
      <c r="A559" s="98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</row>
    <row r="560" spans="1:26" ht="13.5" customHeight="1" x14ac:dyDescent="0.3">
      <c r="A560" s="98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</row>
    <row r="561" spans="1:26" ht="13.5" customHeight="1" x14ac:dyDescent="0.3">
      <c r="A561" s="98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</row>
    <row r="562" spans="1:26" ht="13.5" customHeight="1" x14ac:dyDescent="0.3">
      <c r="A562" s="98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</row>
    <row r="563" spans="1:26" ht="13.5" customHeight="1" x14ac:dyDescent="0.3">
      <c r="A563" s="98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</row>
    <row r="564" spans="1:26" ht="13.5" customHeight="1" x14ac:dyDescent="0.3">
      <c r="A564" s="98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</row>
    <row r="565" spans="1:26" ht="13.5" customHeight="1" x14ac:dyDescent="0.3">
      <c r="A565" s="98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</row>
    <row r="566" spans="1:26" ht="13.5" customHeight="1" x14ac:dyDescent="0.3">
      <c r="A566" s="98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</row>
    <row r="567" spans="1:26" ht="13.5" customHeight="1" x14ac:dyDescent="0.3">
      <c r="A567" s="98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</row>
    <row r="568" spans="1:26" ht="13.5" customHeight="1" x14ac:dyDescent="0.3">
      <c r="A568" s="98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</row>
    <row r="569" spans="1:26" ht="13.5" customHeight="1" x14ac:dyDescent="0.3">
      <c r="A569" s="98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</row>
    <row r="570" spans="1:26" ht="13.5" customHeight="1" x14ac:dyDescent="0.3">
      <c r="A570" s="98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</row>
    <row r="571" spans="1:26" ht="13.5" customHeight="1" x14ac:dyDescent="0.3">
      <c r="A571" s="98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</row>
    <row r="572" spans="1:26" ht="13.5" customHeight="1" x14ac:dyDescent="0.3">
      <c r="A572" s="98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</row>
    <row r="573" spans="1:26" ht="13.5" customHeight="1" x14ac:dyDescent="0.3">
      <c r="A573" s="98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</row>
    <row r="574" spans="1:26" ht="13.5" customHeight="1" x14ac:dyDescent="0.3">
      <c r="A574" s="98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</row>
    <row r="575" spans="1:26" ht="13.5" customHeight="1" x14ac:dyDescent="0.3">
      <c r="A575" s="98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</row>
    <row r="576" spans="1:26" ht="13.5" customHeight="1" x14ac:dyDescent="0.3">
      <c r="A576" s="98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</row>
    <row r="577" spans="1:26" ht="13.5" customHeight="1" x14ac:dyDescent="0.3">
      <c r="A577" s="98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</row>
    <row r="578" spans="1:26" ht="13.5" customHeight="1" x14ac:dyDescent="0.3">
      <c r="A578" s="98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</row>
    <row r="579" spans="1:26" ht="13.5" customHeight="1" x14ac:dyDescent="0.3">
      <c r="A579" s="98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</row>
    <row r="580" spans="1:26" ht="13.5" customHeight="1" x14ac:dyDescent="0.3">
      <c r="A580" s="98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</row>
    <row r="581" spans="1:26" ht="13.5" customHeight="1" x14ac:dyDescent="0.3">
      <c r="A581" s="98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</row>
    <row r="582" spans="1:26" ht="13.5" customHeight="1" x14ac:dyDescent="0.3">
      <c r="A582" s="98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</row>
    <row r="583" spans="1:26" ht="13.5" customHeight="1" x14ac:dyDescent="0.3">
      <c r="A583" s="98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</row>
    <row r="584" spans="1:26" ht="13.5" customHeight="1" x14ac:dyDescent="0.3">
      <c r="A584" s="98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</row>
    <row r="585" spans="1:26" ht="13.5" customHeight="1" x14ac:dyDescent="0.3">
      <c r="A585" s="98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</row>
    <row r="586" spans="1:26" ht="13.5" customHeight="1" x14ac:dyDescent="0.3">
      <c r="A586" s="98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</row>
    <row r="587" spans="1:26" ht="13.5" customHeight="1" x14ac:dyDescent="0.3">
      <c r="A587" s="98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</row>
    <row r="588" spans="1:26" ht="13.5" customHeight="1" x14ac:dyDescent="0.3">
      <c r="A588" s="98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</row>
    <row r="589" spans="1:26" ht="13.5" customHeight="1" x14ac:dyDescent="0.3">
      <c r="A589" s="98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</row>
    <row r="590" spans="1:26" ht="13.5" customHeight="1" x14ac:dyDescent="0.3">
      <c r="A590" s="98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</row>
    <row r="591" spans="1:26" ht="13.5" customHeight="1" x14ac:dyDescent="0.3">
      <c r="A591" s="98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</row>
    <row r="592" spans="1:26" ht="13.5" customHeight="1" x14ac:dyDescent="0.3">
      <c r="A592" s="98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</row>
    <row r="593" spans="1:26" ht="13.5" customHeight="1" x14ac:dyDescent="0.3">
      <c r="A593" s="98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</row>
    <row r="594" spans="1:26" ht="13.5" customHeight="1" x14ac:dyDescent="0.3">
      <c r="A594" s="98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</row>
    <row r="595" spans="1:26" ht="13.5" customHeight="1" x14ac:dyDescent="0.3">
      <c r="A595" s="98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</row>
    <row r="596" spans="1:26" ht="13.5" customHeight="1" x14ac:dyDescent="0.3">
      <c r="A596" s="98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</row>
    <row r="597" spans="1:26" ht="13.5" customHeight="1" x14ac:dyDescent="0.3">
      <c r="A597" s="98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</row>
    <row r="598" spans="1:26" ht="13.5" customHeight="1" x14ac:dyDescent="0.3">
      <c r="A598" s="98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</row>
    <row r="599" spans="1:26" ht="13.5" customHeight="1" x14ac:dyDescent="0.3">
      <c r="A599" s="98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</row>
    <row r="600" spans="1:26" ht="13.5" customHeight="1" x14ac:dyDescent="0.3">
      <c r="A600" s="98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</row>
    <row r="601" spans="1:26" ht="13.5" customHeight="1" x14ac:dyDescent="0.3">
      <c r="A601" s="98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</row>
    <row r="602" spans="1:26" ht="13.5" customHeight="1" x14ac:dyDescent="0.3">
      <c r="A602" s="98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</row>
    <row r="603" spans="1:26" ht="13.5" customHeight="1" x14ac:dyDescent="0.3">
      <c r="A603" s="98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</row>
    <row r="604" spans="1:26" ht="13.5" customHeight="1" x14ac:dyDescent="0.3">
      <c r="A604" s="98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</row>
    <row r="605" spans="1:26" ht="13.5" customHeight="1" x14ac:dyDescent="0.3">
      <c r="A605" s="98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</row>
    <row r="606" spans="1:26" ht="13.5" customHeight="1" x14ac:dyDescent="0.3">
      <c r="A606" s="98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</row>
    <row r="607" spans="1:26" ht="13.5" customHeight="1" x14ac:dyDescent="0.3">
      <c r="A607" s="98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</row>
    <row r="608" spans="1:26" ht="13.5" customHeight="1" x14ac:dyDescent="0.3">
      <c r="A608" s="98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</row>
    <row r="609" spans="1:26" ht="13.5" customHeight="1" x14ac:dyDescent="0.3">
      <c r="A609" s="98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</row>
    <row r="610" spans="1:26" ht="13.5" customHeight="1" x14ac:dyDescent="0.3">
      <c r="A610" s="98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</row>
    <row r="611" spans="1:26" ht="13.5" customHeight="1" x14ac:dyDescent="0.3">
      <c r="A611" s="98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</row>
    <row r="612" spans="1:26" ht="13.5" customHeight="1" x14ac:dyDescent="0.3">
      <c r="A612" s="98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</row>
    <row r="613" spans="1:26" ht="13.5" customHeight="1" x14ac:dyDescent="0.3">
      <c r="A613" s="98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</row>
    <row r="614" spans="1:26" ht="13.5" customHeight="1" x14ac:dyDescent="0.3">
      <c r="A614" s="98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</row>
    <row r="615" spans="1:26" ht="13.5" customHeight="1" x14ac:dyDescent="0.3">
      <c r="A615" s="98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</row>
    <row r="616" spans="1:26" ht="13.5" customHeight="1" x14ac:dyDescent="0.3">
      <c r="A616" s="98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</row>
    <row r="617" spans="1:26" ht="13.5" customHeight="1" x14ac:dyDescent="0.3">
      <c r="A617" s="98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</row>
    <row r="618" spans="1:26" ht="13.5" customHeight="1" x14ac:dyDescent="0.3">
      <c r="A618" s="98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</row>
    <row r="619" spans="1:26" ht="13.5" customHeight="1" x14ac:dyDescent="0.3">
      <c r="A619" s="98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</row>
    <row r="620" spans="1:26" ht="13.5" customHeight="1" x14ac:dyDescent="0.3">
      <c r="A620" s="98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</row>
    <row r="621" spans="1:26" ht="13.5" customHeight="1" x14ac:dyDescent="0.3">
      <c r="A621" s="98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</row>
    <row r="622" spans="1:26" ht="13.5" customHeight="1" x14ac:dyDescent="0.3">
      <c r="A622" s="98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</row>
    <row r="623" spans="1:26" ht="13.5" customHeight="1" x14ac:dyDescent="0.3">
      <c r="A623" s="98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</row>
    <row r="624" spans="1:26" ht="13.5" customHeight="1" x14ac:dyDescent="0.3">
      <c r="A624" s="98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</row>
    <row r="625" spans="1:26" ht="13.5" customHeight="1" x14ac:dyDescent="0.3">
      <c r="A625" s="98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</row>
    <row r="626" spans="1:26" ht="13.5" customHeight="1" x14ac:dyDescent="0.3">
      <c r="A626" s="98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</row>
    <row r="627" spans="1:26" ht="13.5" customHeight="1" x14ac:dyDescent="0.3">
      <c r="A627" s="98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</row>
    <row r="628" spans="1:26" ht="13.5" customHeight="1" x14ac:dyDescent="0.3">
      <c r="A628" s="98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</row>
    <row r="629" spans="1:26" ht="13.5" customHeight="1" x14ac:dyDescent="0.3">
      <c r="A629" s="98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</row>
    <row r="630" spans="1:26" ht="13.5" customHeight="1" x14ac:dyDescent="0.3">
      <c r="A630" s="98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</row>
    <row r="631" spans="1:26" ht="13.5" customHeight="1" x14ac:dyDescent="0.3">
      <c r="A631" s="98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</row>
    <row r="632" spans="1:26" ht="13.5" customHeight="1" x14ac:dyDescent="0.3">
      <c r="A632" s="98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</row>
    <row r="633" spans="1:26" ht="13.5" customHeight="1" x14ac:dyDescent="0.3">
      <c r="A633" s="98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</row>
    <row r="634" spans="1:26" ht="13.5" customHeight="1" x14ac:dyDescent="0.3">
      <c r="A634" s="98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</row>
    <row r="635" spans="1:26" ht="13.5" customHeight="1" x14ac:dyDescent="0.3">
      <c r="A635" s="98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</row>
    <row r="636" spans="1:26" ht="13.5" customHeight="1" x14ac:dyDescent="0.3">
      <c r="A636" s="98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</row>
    <row r="637" spans="1:26" ht="13.5" customHeight="1" x14ac:dyDescent="0.3">
      <c r="A637" s="98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</row>
    <row r="638" spans="1:26" ht="13.5" customHeight="1" x14ac:dyDescent="0.3">
      <c r="A638" s="98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</row>
    <row r="639" spans="1:26" ht="13.5" customHeight="1" x14ac:dyDescent="0.3">
      <c r="A639" s="98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</row>
    <row r="640" spans="1:26" ht="13.5" customHeight="1" x14ac:dyDescent="0.3">
      <c r="A640" s="98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</row>
    <row r="641" spans="1:26" ht="13.5" customHeight="1" x14ac:dyDescent="0.3">
      <c r="A641" s="98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</row>
    <row r="642" spans="1:26" ht="13.5" customHeight="1" x14ac:dyDescent="0.3">
      <c r="A642" s="98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</row>
    <row r="643" spans="1:26" ht="13.5" customHeight="1" x14ac:dyDescent="0.3">
      <c r="A643" s="98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</row>
    <row r="644" spans="1:26" ht="13.5" customHeight="1" x14ac:dyDescent="0.3">
      <c r="A644" s="98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</row>
    <row r="645" spans="1:26" ht="13.5" customHeight="1" x14ac:dyDescent="0.3">
      <c r="A645" s="98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</row>
    <row r="646" spans="1:26" ht="13.5" customHeight="1" x14ac:dyDescent="0.3">
      <c r="A646" s="98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</row>
    <row r="647" spans="1:26" ht="13.5" customHeight="1" x14ac:dyDescent="0.3">
      <c r="A647" s="98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</row>
    <row r="648" spans="1:26" ht="13.5" customHeight="1" x14ac:dyDescent="0.3">
      <c r="A648" s="98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</row>
    <row r="649" spans="1:26" ht="13.5" customHeight="1" x14ac:dyDescent="0.3">
      <c r="A649" s="98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</row>
    <row r="650" spans="1:26" ht="13.5" customHeight="1" x14ac:dyDescent="0.3">
      <c r="A650" s="98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</row>
    <row r="651" spans="1:26" ht="13.5" customHeight="1" x14ac:dyDescent="0.3">
      <c r="A651" s="98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</row>
    <row r="652" spans="1:26" ht="13.5" customHeight="1" x14ac:dyDescent="0.3">
      <c r="A652" s="98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</row>
    <row r="653" spans="1:26" ht="13.5" customHeight="1" x14ac:dyDescent="0.3">
      <c r="A653" s="98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</row>
    <row r="654" spans="1:26" ht="13.5" customHeight="1" x14ac:dyDescent="0.3">
      <c r="A654" s="98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</row>
    <row r="655" spans="1:26" ht="13.5" customHeight="1" x14ac:dyDescent="0.3">
      <c r="A655" s="98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</row>
    <row r="656" spans="1:26" ht="13.5" customHeight="1" x14ac:dyDescent="0.3">
      <c r="A656" s="98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</row>
    <row r="657" spans="1:26" ht="13.5" customHeight="1" x14ac:dyDescent="0.3">
      <c r="A657" s="98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</row>
    <row r="658" spans="1:26" ht="13.5" customHeight="1" x14ac:dyDescent="0.3">
      <c r="A658" s="98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</row>
    <row r="659" spans="1:26" ht="13.5" customHeight="1" x14ac:dyDescent="0.3">
      <c r="A659" s="98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</row>
    <row r="660" spans="1:26" ht="13.5" customHeight="1" x14ac:dyDescent="0.3">
      <c r="A660" s="98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</row>
    <row r="661" spans="1:26" ht="13.5" customHeight="1" x14ac:dyDescent="0.3">
      <c r="A661" s="98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</row>
    <row r="662" spans="1:26" ht="13.5" customHeight="1" x14ac:dyDescent="0.3">
      <c r="A662" s="98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</row>
    <row r="663" spans="1:26" ht="13.5" customHeight="1" x14ac:dyDescent="0.3">
      <c r="A663" s="98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</row>
    <row r="664" spans="1:26" ht="13.5" customHeight="1" x14ac:dyDescent="0.3">
      <c r="A664" s="98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</row>
    <row r="665" spans="1:26" ht="13.5" customHeight="1" x14ac:dyDescent="0.3">
      <c r="A665" s="98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</row>
    <row r="666" spans="1:26" ht="13.5" customHeight="1" x14ac:dyDescent="0.3">
      <c r="A666" s="98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</row>
    <row r="667" spans="1:26" ht="13.5" customHeight="1" x14ac:dyDescent="0.3">
      <c r="A667" s="98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</row>
    <row r="668" spans="1:26" ht="13.5" customHeight="1" x14ac:dyDescent="0.3">
      <c r="A668" s="98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</row>
    <row r="669" spans="1:26" ht="13.5" customHeight="1" x14ac:dyDescent="0.3">
      <c r="A669" s="98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</row>
    <row r="670" spans="1:26" ht="13.5" customHeight="1" x14ac:dyDescent="0.3">
      <c r="A670" s="98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</row>
    <row r="671" spans="1:26" ht="13.5" customHeight="1" x14ac:dyDescent="0.3">
      <c r="A671" s="98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</row>
    <row r="672" spans="1:26" ht="13.5" customHeight="1" x14ac:dyDescent="0.3">
      <c r="A672" s="98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</row>
    <row r="673" spans="1:26" ht="13.5" customHeight="1" x14ac:dyDescent="0.3">
      <c r="A673" s="98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</row>
    <row r="674" spans="1:26" ht="13.5" customHeight="1" x14ac:dyDescent="0.3">
      <c r="A674" s="98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</row>
    <row r="675" spans="1:26" ht="13.5" customHeight="1" x14ac:dyDescent="0.3">
      <c r="A675" s="98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</row>
    <row r="676" spans="1:26" ht="13.5" customHeight="1" x14ac:dyDescent="0.3">
      <c r="A676" s="98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</row>
    <row r="677" spans="1:26" ht="13.5" customHeight="1" x14ac:dyDescent="0.3">
      <c r="A677" s="98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</row>
    <row r="678" spans="1:26" ht="13.5" customHeight="1" x14ac:dyDescent="0.3">
      <c r="A678" s="98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</row>
    <row r="679" spans="1:26" ht="13.5" customHeight="1" x14ac:dyDescent="0.3">
      <c r="A679" s="98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</row>
    <row r="680" spans="1:26" ht="13.5" customHeight="1" x14ac:dyDescent="0.3">
      <c r="A680" s="98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</row>
    <row r="681" spans="1:26" ht="13.5" customHeight="1" x14ac:dyDescent="0.3">
      <c r="A681" s="98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</row>
    <row r="682" spans="1:26" ht="13.5" customHeight="1" x14ac:dyDescent="0.3">
      <c r="A682" s="98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</row>
    <row r="683" spans="1:26" ht="13.5" customHeight="1" x14ac:dyDescent="0.3">
      <c r="A683" s="98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</row>
    <row r="684" spans="1:26" ht="13.5" customHeight="1" x14ac:dyDescent="0.3">
      <c r="A684" s="98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</row>
    <row r="685" spans="1:26" ht="13.5" customHeight="1" x14ac:dyDescent="0.3">
      <c r="A685" s="98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</row>
    <row r="686" spans="1:26" ht="13.5" customHeight="1" x14ac:dyDescent="0.3">
      <c r="A686" s="98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</row>
    <row r="687" spans="1:26" ht="13.5" customHeight="1" x14ac:dyDescent="0.3">
      <c r="A687" s="98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</row>
    <row r="688" spans="1:26" ht="13.5" customHeight="1" x14ac:dyDescent="0.3">
      <c r="A688" s="98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</row>
    <row r="689" spans="1:26" ht="13.5" customHeight="1" x14ac:dyDescent="0.3">
      <c r="A689" s="98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</row>
    <row r="690" spans="1:26" ht="13.5" customHeight="1" x14ac:dyDescent="0.3">
      <c r="A690" s="98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</row>
    <row r="691" spans="1:26" ht="13.5" customHeight="1" x14ac:dyDescent="0.3">
      <c r="A691" s="98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</row>
    <row r="692" spans="1:26" ht="13.5" customHeight="1" x14ac:dyDescent="0.3">
      <c r="A692" s="98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</row>
    <row r="693" spans="1:26" ht="13.5" customHeight="1" x14ac:dyDescent="0.3">
      <c r="A693" s="98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</row>
    <row r="694" spans="1:26" ht="13.5" customHeight="1" x14ac:dyDescent="0.3">
      <c r="A694" s="98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</row>
    <row r="695" spans="1:26" ht="13.5" customHeight="1" x14ac:dyDescent="0.3">
      <c r="A695" s="98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</row>
    <row r="696" spans="1:26" ht="13.5" customHeight="1" x14ac:dyDescent="0.3">
      <c r="A696" s="98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</row>
    <row r="697" spans="1:26" ht="13.5" customHeight="1" x14ac:dyDescent="0.3">
      <c r="A697" s="98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</row>
    <row r="698" spans="1:26" ht="13.5" customHeight="1" x14ac:dyDescent="0.3">
      <c r="A698" s="98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</row>
    <row r="699" spans="1:26" ht="13.5" customHeight="1" x14ac:dyDescent="0.3">
      <c r="A699" s="98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</row>
    <row r="700" spans="1:26" ht="13.5" customHeight="1" x14ac:dyDescent="0.3">
      <c r="A700" s="98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</row>
    <row r="701" spans="1:26" ht="13.5" customHeight="1" x14ac:dyDescent="0.3">
      <c r="A701" s="98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</row>
    <row r="702" spans="1:26" ht="13.5" customHeight="1" x14ac:dyDescent="0.3">
      <c r="A702" s="98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</row>
    <row r="703" spans="1:26" ht="13.5" customHeight="1" x14ac:dyDescent="0.3">
      <c r="A703" s="98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</row>
    <row r="704" spans="1:26" ht="13.5" customHeight="1" x14ac:dyDescent="0.3">
      <c r="A704" s="98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</row>
    <row r="705" spans="1:26" ht="13.5" customHeight="1" x14ac:dyDescent="0.3">
      <c r="A705" s="98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</row>
    <row r="706" spans="1:26" ht="13.5" customHeight="1" x14ac:dyDescent="0.3">
      <c r="A706" s="98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</row>
    <row r="707" spans="1:26" ht="13.5" customHeight="1" x14ac:dyDescent="0.3">
      <c r="A707" s="98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</row>
    <row r="708" spans="1:26" ht="13.5" customHeight="1" x14ac:dyDescent="0.3">
      <c r="A708" s="98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</row>
    <row r="709" spans="1:26" ht="13.5" customHeight="1" x14ac:dyDescent="0.3">
      <c r="A709" s="98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</row>
    <row r="710" spans="1:26" ht="13.5" customHeight="1" x14ac:dyDescent="0.3">
      <c r="A710" s="98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</row>
    <row r="711" spans="1:26" ht="13.5" customHeight="1" x14ac:dyDescent="0.3">
      <c r="A711" s="98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</row>
    <row r="712" spans="1:26" ht="13.5" customHeight="1" x14ac:dyDescent="0.3">
      <c r="A712" s="98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</row>
    <row r="713" spans="1:26" ht="13.5" customHeight="1" x14ac:dyDescent="0.3">
      <c r="A713" s="98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</row>
    <row r="714" spans="1:26" ht="13.5" customHeight="1" x14ac:dyDescent="0.3">
      <c r="A714" s="98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</row>
    <row r="715" spans="1:26" ht="13.5" customHeight="1" x14ac:dyDescent="0.3">
      <c r="A715" s="98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</row>
    <row r="716" spans="1:26" ht="13.5" customHeight="1" x14ac:dyDescent="0.3">
      <c r="A716" s="98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</row>
    <row r="717" spans="1:26" ht="13.5" customHeight="1" x14ac:dyDescent="0.3">
      <c r="A717" s="98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</row>
    <row r="718" spans="1:26" ht="13.5" customHeight="1" x14ac:dyDescent="0.3">
      <c r="A718" s="98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</row>
    <row r="719" spans="1:26" ht="13.5" customHeight="1" x14ac:dyDescent="0.3">
      <c r="A719" s="98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</row>
    <row r="720" spans="1:26" ht="13.5" customHeight="1" x14ac:dyDescent="0.3">
      <c r="A720" s="98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</row>
    <row r="721" spans="1:26" ht="13.5" customHeight="1" x14ac:dyDescent="0.3">
      <c r="A721" s="98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</row>
    <row r="722" spans="1:26" ht="13.5" customHeight="1" x14ac:dyDescent="0.3">
      <c r="A722" s="98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</row>
    <row r="723" spans="1:26" ht="13.5" customHeight="1" x14ac:dyDescent="0.3">
      <c r="A723" s="98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</row>
    <row r="724" spans="1:26" ht="13.5" customHeight="1" x14ac:dyDescent="0.3">
      <c r="A724" s="98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</row>
    <row r="725" spans="1:26" ht="13.5" customHeight="1" x14ac:dyDescent="0.3">
      <c r="A725" s="98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</row>
    <row r="726" spans="1:26" ht="13.5" customHeight="1" x14ac:dyDescent="0.3">
      <c r="A726" s="98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</row>
    <row r="727" spans="1:26" ht="13.5" customHeight="1" x14ac:dyDescent="0.3">
      <c r="A727" s="98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</row>
    <row r="728" spans="1:26" ht="13.5" customHeight="1" x14ac:dyDescent="0.3">
      <c r="A728" s="98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</row>
    <row r="729" spans="1:26" ht="13.5" customHeight="1" x14ac:dyDescent="0.3">
      <c r="A729" s="98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</row>
    <row r="730" spans="1:26" ht="13.5" customHeight="1" x14ac:dyDescent="0.3">
      <c r="A730" s="98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</row>
    <row r="731" spans="1:26" ht="13.5" customHeight="1" x14ac:dyDescent="0.3">
      <c r="A731" s="98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</row>
    <row r="732" spans="1:26" ht="13.5" customHeight="1" x14ac:dyDescent="0.3">
      <c r="A732" s="98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</row>
    <row r="733" spans="1:26" ht="13.5" customHeight="1" x14ac:dyDescent="0.3">
      <c r="A733" s="98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</row>
    <row r="734" spans="1:26" ht="13.5" customHeight="1" x14ac:dyDescent="0.3">
      <c r="A734" s="98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</row>
    <row r="735" spans="1:26" ht="13.5" customHeight="1" x14ac:dyDescent="0.3">
      <c r="A735" s="98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</row>
    <row r="736" spans="1:26" ht="13.5" customHeight="1" x14ac:dyDescent="0.3">
      <c r="A736" s="98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</row>
    <row r="737" spans="1:26" ht="13.5" customHeight="1" x14ac:dyDescent="0.3">
      <c r="A737" s="98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</row>
    <row r="738" spans="1:26" ht="13.5" customHeight="1" x14ac:dyDescent="0.3">
      <c r="A738" s="98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</row>
    <row r="739" spans="1:26" ht="13.5" customHeight="1" x14ac:dyDescent="0.3">
      <c r="A739" s="98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</row>
    <row r="740" spans="1:26" ht="13.5" customHeight="1" x14ac:dyDescent="0.3">
      <c r="A740" s="98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</row>
    <row r="741" spans="1:26" ht="13.5" customHeight="1" x14ac:dyDescent="0.3">
      <c r="A741" s="98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</row>
    <row r="742" spans="1:26" ht="13.5" customHeight="1" x14ac:dyDescent="0.3">
      <c r="A742" s="98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</row>
    <row r="743" spans="1:26" ht="13.5" customHeight="1" x14ac:dyDescent="0.3">
      <c r="A743" s="98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</row>
    <row r="744" spans="1:26" ht="13.5" customHeight="1" x14ac:dyDescent="0.3">
      <c r="A744" s="98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</row>
    <row r="745" spans="1:26" ht="13.5" customHeight="1" x14ac:dyDescent="0.3">
      <c r="A745" s="98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</row>
    <row r="746" spans="1:26" ht="13.5" customHeight="1" x14ac:dyDescent="0.3">
      <c r="A746" s="98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</row>
    <row r="747" spans="1:26" ht="13.5" customHeight="1" x14ac:dyDescent="0.3">
      <c r="A747" s="98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</row>
    <row r="748" spans="1:26" ht="13.5" customHeight="1" x14ac:dyDescent="0.3">
      <c r="A748" s="98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</row>
    <row r="749" spans="1:26" ht="13.5" customHeight="1" x14ac:dyDescent="0.3">
      <c r="A749" s="98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</row>
    <row r="750" spans="1:26" ht="13.5" customHeight="1" x14ac:dyDescent="0.3">
      <c r="A750" s="98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</row>
    <row r="751" spans="1:26" ht="13.5" customHeight="1" x14ac:dyDescent="0.3">
      <c r="A751" s="98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</row>
    <row r="752" spans="1:26" ht="13.5" customHeight="1" x14ac:dyDescent="0.3">
      <c r="A752" s="98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</row>
    <row r="753" spans="1:26" ht="13.5" customHeight="1" x14ac:dyDescent="0.3">
      <c r="A753" s="98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</row>
    <row r="754" spans="1:26" ht="13.5" customHeight="1" x14ac:dyDescent="0.3">
      <c r="A754" s="98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</row>
    <row r="755" spans="1:26" ht="13.5" customHeight="1" x14ac:dyDescent="0.3">
      <c r="A755" s="98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</row>
    <row r="756" spans="1:26" ht="13.5" customHeight="1" x14ac:dyDescent="0.3">
      <c r="A756" s="98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</row>
    <row r="757" spans="1:26" ht="13.5" customHeight="1" x14ac:dyDescent="0.3">
      <c r="A757" s="98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</row>
    <row r="758" spans="1:26" ht="13.5" customHeight="1" x14ac:dyDescent="0.3">
      <c r="A758" s="98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</row>
    <row r="759" spans="1:26" ht="13.5" customHeight="1" x14ac:dyDescent="0.3">
      <c r="A759" s="98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</row>
    <row r="760" spans="1:26" ht="13.5" customHeight="1" x14ac:dyDescent="0.3">
      <c r="A760" s="98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</row>
    <row r="761" spans="1:26" ht="13.5" customHeight="1" x14ac:dyDescent="0.3">
      <c r="A761" s="98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</row>
    <row r="762" spans="1:26" ht="13.5" customHeight="1" x14ac:dyDescent="0.3">
      <c r="A762" s="98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</row>
    <row r="763" spans="1:26" ht="13.5" customHeight="1" x14ac:dyDescent="0.3">
      <c r="A763" s="98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</row>
    <row r="764" spans="1:26" ht="13.5" customHeight="1" x14ac:dyDescent="0.3">
      <c r="A764" s="98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</row>
    <row r="765" spans="1:26" ht="13.5" customHeight="1" x14ac:dyDescent="0.3">
      <c r="A765" s="98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</row>
    <row r="766" spans="1:26" ht="13.5" customHeight="1" x14ac:dyDescent="0.3">
      <c r="A766" s="98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</row>
    <row r="767" spans="1:26" ht="13.5" customHeight="1" x14ac:dyDescent="0.3">
      <c r="A767" s="98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</row>
    <row r="768" spans="1:26" ht="13.5" customHeight="1" x14ac:dyDescent="0.3">
      <c r="A768" s="98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</row>
    <row r="769" spans="1:26" ht="13.5" customHeight="1" x14ac:dyDescent="0.3">
      <c r="A769" s="98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</row>
    <row r="770" spans="1:26" ht="13.5" customHeight="1" x14ac:dyDescent="0.3">
      <c r="A770" s="98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</row>
    <row r="771" spans="1:26" ht="13.5" customHeight="1" x14ac:dyDescent="0.3">
      <c r="A771" s="98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</row>
    <row r="772" spans="1:26" ht="13.5" customHeight="1" x14ac:dyDescent="0.3">
      <c r="A772" s="98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</row>
    <row r="773" spans="1:26" ht="13.5" customHeight="1" x14ac:dyDescent="0.3">
      <c r="A773" s="98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</row>
    <row r="774" spans="1:26" ht="13.5" customHeight="1" x14ac:dyDescent="0.3">
      <c r="A774" s="98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</row>
    <row r="775" spans="1:26" ht="13.5" customHeight="1" x14ac:dyDescent="0.3">
      <c r="A775" s="98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</row>
    <row r="776" spans="1:26" ht="13.5" customHeight="1" x14ac:dyDescent="0.3">
      <c r="A776" s="98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</row>
    <row r="777" spans="1:26" ht="13.5" customHeight="1" x14ac:dyDescent="0.3">
      <c r="A777" s="98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</row>
    <row r="778" spans="1:26" ht="13.5" customHeight="1" x14ac:dyDescent="0.3">
      <c r="A778" s="98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</row>
    <row r="779" spans="1:26" ht="13.5" customHeight="1" x14ac:dyDescent="0.3">
      <c r="A779" s="98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</row>
    <row r="780" spans="1:26" ht="13.5" customHeight="1" x14ac:dyDescent="0.3">
      <c r="A780" s="98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</row>
    <row r="781" spans="1:26" ht="13.5" customHeight="1" x14ac:dyDescent="0.3">
      <c r="A781" s="98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</row>
    <row r="782" spans="1:26" ht="13.5" customHeight="1" x14ac:dyDescent="0.3">
      <c r="A782" s="98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</row>
    <row r="783" spans="1:26" ht="13.5" customHeight="1" x14ac:dyDescent="0.3">
      <c r="A783" s="98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</row>
    <row r="784" spans="1:26" ht="13.5" customHeight="1" x14ac:dyDescent="0.3">
      <c r="A784" s="98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</row>
    <row r="785" spans="1:26" ht="13.5" customHeight="1" x14ac:dyDescent="0.3">
      <c r="A785" s="98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</row>
    <row r="786" spans="1:26" ht="13.5" customHeight="1" x14ac:dyDescent="0.3">
      <c r="A786" s="98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</row>
    <row r="787" spans="1:26" ht="13.5" customHeight="1" x14ac:dyDescent="0.3">
      <c r="A787" s="98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</row>
    <row r="788" spans="1:26" ht="13.5" customHeight="1" x14ac:dyDescent="0.3">
      <c r="A788" s="98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</row>
    <row r="789" spans="1:26" ht="13.5" customHeight="1" x14ac:dyDescent="0.3">
      <c r="A789" s="98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</row>
    <row r="790" spans="1:26" ht="13.5" customHeight="1" x14ac:dyDescent="0.3">
      <c r="A790" s="98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</row>
    <row r="791" spans="1:26" ht="13.5" customHeight="1" x14ac:dyDescent="0.3">
      <c r="A791" s="98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</row>
    <row r="792" spans="1:26" ht="13.5" customHeight="1" x14ac:dyDescent="0.3">
      <c r="A792" s="98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</row>
    <row r="793" spans="1:26" ht="13.5" customHeight="1" x14ac:dyDescent="0.3">
      <c r="A793" s="98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</row>
    <row r="794" spans="1:26" ht="13.5" customHeight="1" x14ac:dyDescent="0.3">
      <c r="A794" s="98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</row>
    <row r="795" spans="1:26" ht="13.5" customHeight="1" x14ac:dyDescent="0.3">
      <c r="A795" s="98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</row>
    <row r="796" spans="1:26" ht="13.5" customHeight="1" x14ac:dyDescent="0.3">
      <c r="A796" s="98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</row>
    <row r="797" spans="1:26" ht="13.5" customHeight="1" x14ac:dyDescent="0.3">
      <c r="A797" s="98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</row>
    <row r="798" spans="1:26" ht="13.5" customHeight="1" x14ac:dyDescent="0.3">
      <c r="A798" s="98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</row>
    <row r="799" spans="1:26" ht="13.5" customHeight="1" x14ac:dyDescent="0.3">
      <c r="A799" s="98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</row>
    <row r="800" spans="1:26" ht="13.5" customHeight="1" x14ac:dyDescent="0.3">
      <c r="A800" s="98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</row>
    <row r="801" spans="1:26" ht="13.5" customHeight="1" x14ac:dyDescent="0.3">
      <c r="A801" s="98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</row>
    <row r="802" spans="1:26" ht="13.5" customHeight="1" x14ac:dyDescent="0.3">
      <c r="A802" s="98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</row>
    <row r="803" spans="1:26" ht="13.5" customHeight="1" x14ac:dyDescent="0.3">
      <c r="A803" s="98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</row>
    <row r="804" spans="1:26" ht="13.5" customHeight="1" x14ac:dyDescent="0.3">
      <c r="A804" s="98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</row>
    <row r="805" spans="1:26" ht="13.5" customHeight="1" x14ac:dyDescent="0.3">
      <c r="A805" s="98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</row>
    <row r="806" spans="1:26" ht="13.5" customHeight="1" x14ac:dyDescent="0.3">
      <c r="A806" s="98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</row>
    <row r="807" spans="1:26" ht="13.5" customHeight="1" x14ac:dyDescent="0.3">
      <c r="A807" s="98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</row>
    <row r="808" spans="1:26" ht="13.5" customHeight="1" x14ac:dyDescent="0.3">
      <c r="A808" s="98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</row>
    <row r="809" spans="1:26" ht="13.5" customHeight="1" x14ac:dyDescent="0.3">
      <c r="A809" s="98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</row>
    <row r="810" spans="1:26" ht="13.5" customHeight="1" x14ac:dyDescent="0.3">
      <c r="A810" s="98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</row>
    <row r="811" spans="1:26" ht="13.5" customHeight="1" x14ac:dyDescent="0.3">
      <c r="A811" s="98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</row>
    <row r="812" spans="1:26" ht="13.5" customHeight="1" x14ac:dyDescent="0.3">
      <c r="A812" s="98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</row>
    <row r="813" spans="1:26" ht="13.5" customHeight="1" x14ac:dyDescent="0.3">
      <c r="A813" s="98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</row>
    <row r="814" spans="1:26" ht="13.5" customHeight="1" x14ac:dyDescent="0.3">
      <c r="A814" s="98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</row>
    <row r="815" spans="1:26" ht="13.5" customHeight="1" x14ac:dyDescent="0.3">
      <c r="A815" s="98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</row>
    <row r="816" spans="1:26" ht="13.5" customHeight="1" x14ac:dyDescent="0.3">
      <c r="A816" s="98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</row>
    <row r="817" spans="1:26" ht="13.5" customHeight="1" x14ac:dyDescent="0.3">
      <c r="A817" s="98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</row>
    <row r="818" spans="1:26" ht="13.5" customHeight="1" x14ac:dyDescent="0.3">
      <c r="A818" s="98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</row>
    <row r="819" spans="1:26" ht="13.5" customHeight="1" x14ac:dyDescent="0.3">
      <c r="A819" s="98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</row>
    <row r="820" spans="1:26" ht="13.5" customHeight="1" x14ac:dyDescent="0.3">
      <c r="A820" s="98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</row>
    <row r="821" spans="1:26" ht="13.5" customHeight="1" x14ac:dyDescent="0.3">
      <c r="A821" s="98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</row>
    <row r="822" spans="1:26" ht="13.5" customHeight="1" x14ac:dyDescent="0.3">
      <c r="A822" s="98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</row>
    <row r="823" spans="1:26" ht="13.5" customHeight="1" x14ac:dyDescent="0.3">
      <c r="A823" s="98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</row>
    <row r="824" spans="1:26" ht="13.5" customHeight="1" x14ac:dyDescent="0.3">
      <c r="A824" s="98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</row>
    <row r="825" spans="1:26" ht="13.5" customHeight="1" x14ac:dyDescent="0.3">
      <c r="A825" s="98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</row>
    <row r="826" spans="1:26" ht="13.5" customHeight="1" x14ac:dyDescent="0.3">
      <c r="A826" s="98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</row>
    <row r="827" spans="1:26" ht="13.5" customHeight="1" x14ac:dyDescent="0.3">
      <c r="A827" s="98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</row>
    <row r="828" spans="1:26" ht="13.5" customHeight="1" x14ac:dyDescent="0.3">
      <c r="A828" s="98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</row>
    <row r="829" spans="1:26" ht="13.5" customHeight="1" x14ac:dyDescent="0.3">
      <c r="A829" s="98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</row>
    <row r="830" spans="1:26" ht="13.5" customHeight="1" x14ac:dyDescent="0.3">
      <c r="A830" s="98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</row>
    <row r="831" spans="1:26" ht="13.5" customHeight="1" x14ac:dyDescent="0.3">
      <c r="A831" s="98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</row>
    <row r="832" spans="1:26" ht="13.5" customHeight="1" x14ac:dyDescent="0.3">
      <c r="A832" s="98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</row>
    <row r="833" spans="1:26" ht="13.5" customHeight="1" x14ac:dyDescent="0.3">
      <c r="A833" s="98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</row>
    <row r="834" spans="1:26" ht="13.5" customHeight="1" x14ac:dyDescent="0.3">
      <c r="A834" s="98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</row>
    <row r="835" spans="1:26" ht="13.5" customHeight="1" x14ac:dyDescent="0.3">
      <c r="A835" s="98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</row>
    <row r="836" spans="1:26" ht="13.5" customHeight="1" x14ac:dyDescent="0.3">
      <c r="A836" s="98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</row>
    <row r="837" spans="1:26" ht="13.5" customHeight="1" x14ac:dyDescent="0.3">
      <c r="A837" s="98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</row>
    <row r="838" spans="1:26" ht="13.5" customHeight="1" x14ac:dyDescent="0.3">
      <c r="A838" s="98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</row>
    <row r="839" spans="1:26" ht="13.5" customHeight="1" x14ac:dyDescent="0.3">
      <c r="A839" s="98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</row>
    <row r="840" spans="1:26" ht="13.5" customHeight="1" x14ac:dyDescent="0.3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</row>
    <row r="841" spans="1:26" ht="13.5" customHeight="1" x14ac:dyDescent="0.3">
      <c r="A841" s="98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</row>
    <row r="842" spans="1:26" ht="13.5" customHeight="1" x14ac:dyDescent="0.3">
      <c r="A842" s="98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</row>
    <row r="843" spans="1:26" ht="13.5" customHeight="1" x14ac:dyDescent="0.3">
      <c r="A843" s="98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</row>
    <row r="844" spans="1:26" ht="13.5" customHeight="1" x14ac:dyDescent="0.3">
      <c r="A844" s="98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</row>
    <row r="845" spans="1:26" ht="13.5" customHeight="1" x14ac:dyDescent="0.3">
      <c r="A845" s="98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</row>
    <row r="846" spans="1:26" ht="13.5" customHeight="1" x14ac:dyDescent="0.3">
      <c r="A846" s="98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</row>
    <row r="847" spans="1:26" ht="13.5" customHeight="1" x14ac:dyDescent="0.3">
      <c r="A847" s="98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</row>
    <row r="848" spans="1:26" ht="13.5" customHeight="1" x14ac:dyDescent="0.3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</row>
    <row r="849" spans="1:26" ht="13.5" customHeight="1" x14ac:dyDescent="0.3">
      <c r="A849" s="98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</row>
    <row r="850" spans="1:26" ht="13.5" customHeight="1" x14ac:dyDescent="0.3">
      <c r="A850" s="98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</row>
    <row r="851" spans="1:26" ht="13.5" customHeight="1" x14ac:dyDescent="0.3">
      <c r="A851" s="98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</row>
    <row r="852" spans="1:26" ht="13.5" customHeight="1" x14ac:dyDescent="0.3">
      <c r="A852" s="98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</row>
    <row r="853" spans="1:26" ht="13.5" customHeight="1" x14ac:dyDescent="0.3">
      <c r="A853" s="98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</row>
    <row r="854" spans="1:26" ht="13.5" customHeight="1" x14ac:dyDescent="0.3">
      <c r="A854" s="98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</row>
    <row r="855" spans="1:26" ht="13.5" customHeight="1" x14ac:dyDescent="0.3">
      <c r="A855" s="98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</row>
    <row r="856" spans="1:26" ht="13.5" customHeight="1" x14ac:dyDescent="0.3">
      <c r="A856" s="98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</row>
    <row r="857" spans="1:26" ht="13.5" customHeight="1" x14ac:dyDescent="0.3">
      <c r="A857" s="98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</row>
    <row r="858" spans="1:26" ht="13.5" customHeight="1" x14ac:dyDescent="0.3">
      <c r="A858" s="98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</row>
    <row r="859" spans="1:26" ht="13.5" customHeight="1" x14ac:dyDescent="0.3">
      <c r="A859" s="98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</row>
    <row r="860" spans="1:26" ht="13.5" customHeight="1" x14ac:dyDescent="0.3">
      <c r="A860" s="98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</row>
    <row r="861" spans="1:26" ht="13.5" customHeight="1" x14ac:dyDescent="0.3">
      <c r="A861" s="98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</row>
    <row r="862" spans="1:26" ht="13.5" customHeight="1" x14ac:dyDescent="0.3">
      <c r="A862" s="98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</row>
    <row r="863" spans="1:26" ht="13.5" customHeight="1" x14ac:dyDescent="0.3">
      <c r="A863" s="98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</row>
    <row r="864" spans="1:26" ht="13.5" customHeight="1" x14ac:dyDescent="0.3">
      <c r="A864" s="98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</row>
    <row r="865" spans="1:26" ht="13.5" customHeight="1" x14ac:dyDescent="0.3">
      <c r="A865" s="98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</row>
    <row r="866" spans="1:26" ht="13.5" customHeight="1" x14ac:dyDescent="0.3">
      <c r="A866" s="98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</row>
    <row r="867" spans="1:26" ht="13.5" customHeight="1" x14ac:dyDescent="0.3">
      <c r="A867" s="98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</row>
    <row r="868" spans="1:26" ht="13.5" customHeight="1" x14ac:dyDescent="0.3">
      <c r="A868" s="98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</row>
    <row r="869" spans="1:26" ht="13.5" customHeight="1" x14ac:dyDescent="0.3">
      <c r="A869" s="98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</row>
    <row r="870" spans="1:26" ht="13.5" customHeight="1" x14ac:dyDescent="0.3">
      <c r="A870" s="98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</row>
    <row r="871" spans="1:26" ht="13.5" customHeight="1" x14ac:dyDescent="0.3">
      <c r="A871" s="98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</row>
    <row r="872" spans="1:26" ht="13.5" customHeight="1" x14ac:dyDescent="0.3">
      <c r="A872" s="98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</row>
    <row r="873" spans="1:26" ht="13.5" customHeight="1" x14ac:dyDescent="0.3">
      <c r="A873" s="98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</row>
    <row r="874" spans="1:26" ht="13.5" customHeight="1" x14ac:dyDescent="0.3">
      <c r="A874" s="98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</row>
    <row r="875" spans="1:26" ht="13.5" customHeight="1" x14ac:dyDescent="0.3">
      <c r="A875" s="98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</row>
    <row r="876" spans="1:26" ht="13.5" customHeight="1" x14ac:dyDescent="0.3">
      <c r="A876" s="98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</row>
    <row r="877" spans="1:26" ht="13.5" customHeight="1" x14ac:dyDescent="0.3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</row>
    <row r="878" spans="1:26" ht="13.5" customHeight="1" x14ac:dyDescent="0.3">
      <c r="A878" s="98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</row>
    <row r="879" spans="1:26" ht="13.5" customHeight="1" x14ac:dyDescent="0.3">
      <c r="A879" s="98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</row>
    <row r="880" spans="1:26" ht="13.5" customHeight="1" x14ac:dyDescent="0.3">
      <c r="A880" s="98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</row>
    <row r="881" spans="1:26" ht="13.5" customHeight="1" x14ac:dyDescent="0.3">
      <c r="A881" s="98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</row>
    <row r="882" spans="1:26" ht="13.5" customHeight="1" x14ac:dyDescent="0.3">
      <c r="A882" s="98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</row>
    <row r="883" spans="1:26" ht="13.5" customHeight="1" x14ac:dyDescent="0.3">
      <c r="A883" s="98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</row>
    <row r="884" spans="1:26" ht="13.5" customHeight="1" x14ac:dyDescent="0.3">
      <c r="A884" s="98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</row>
    <row r="885" spans="1:26" ht="13.5" customHeight="1" x14ac:dyDescent="0.3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</row>
    <row r="886" spans="1:26" ht="13.5" customHeight="1" x14ac:dyDescent="0.3">
      <c r="A886" s="98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</row>
    <row r="887" spans="1:26" ht="13.5" customHeight="1" x14ac:dyDescent="0.3">
      <c r="A887" s="98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</row>
    <row r="888" spans="1:26" ht="13.5" customHeight="1" x14ac:dyDescent="0.3">
      <c r="A888" s="98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</row>
    <row r="889" spans="1:26" ht="13.5" customHeight="1" x14ac:dyDescent="0.3">
      <c r="A889" s="98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</row>
    <row r="890" spans="1:26" ht="13.5" customHeight="1" x14ac:dyDescent="0.3">
      <c r="A890" s="98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</row>
    <row r="891" spans="1:26" ht="13.5" customHeight="1" x14ac:dyDescent="0.3">
      <c r="A891" s="98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</row>
    <row r="892" spans="1:26" ht="13.5" customHeight="1" x14ac:dyDescent="0.3">
      <c r="A892" s="98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</row>
    <row r="893" spans="1:26" ht="13.5" customHeight="1" x14ac:dyDescent="0.3">
      <c r="A893" s="98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</row>
    <row r="894" spans="1:26" ht="13.5" customHeight="1" x14ac:dyDescent="0.3">
      <c r="A894" s="98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</row>
    <row r="895" spans="1:26" ht="13.5" customHeight="1" x14ac:dyDescent="0.3">
      <c r="A895" s="98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</row>
    <row r="896" spans="1:26" ht="13.5" customHeight="1" x14ac:dyDescent="0.3">
      <c r="A896" s="98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</row>
    <row r="897" spans="1:26" ht="13.5" customHeight="1" x14ac:dyDescent="0.3">
      <c r="A897" s="98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</row>
    <row r="898" spans="1:26" ht="13.5" customHeight="1" x14ac:dyDescent="0.3">
      <c r="A898" s="98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</row>
    <row r="899" spans="1:26" ht="13.5" customHeight="1" x14ac:dyDescent="0.3">
      <c r="A899" s="98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</row>
    <row r="900" spans="1:26" ht="13.5" customHeight="1" x14ac:dyDescent="0.3">
      <c r="A900" s="98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</row>
    <row r="901" spans="1:26" ht="13.5" customHeight="1" x14ac:dyDescent="0.3">
      <c r="A901" s="98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</row>
    <row r="902" spans="1:26" ht="13.5" customHeight="1" x14ac:dyDescent="0.3">
      <c r="A902" s="98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</row>
    <row r="903" spans="1:26" ht="13.5" customHeight="1" x14ac:dyDescent="0.3">
      <c r="A903" s="98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</row>
    <row r="904" spans="1:26" ht="13.5" customHeight="1" x14ac:dyDescent="0.3">
      <c r="A904" s="98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</row>
    <row r="905" spans="1:26" ht="13.5" customHeight="1" x14ac:dyDescent="0.3">
      <c r="A905" s="98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</row>
    <row r="906" spans="1:26" ht="13.5" customHeight="1" x14ac:dyDescent="0.3">
      <c r="A906" s="98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</row>
    <row r="907" spans="1:26" ht="13.5" customHeight="1" x14ac:dyDescent="0.3">
      <c r="A907" s="98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</row>
    <row r="908" spans="1:26" ht="13.5" customHeight="1" x14ac:dyDescent="0.3">
      <c r="A908" s="98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</row>
    <row r="909" spans="1:26" ht="13.5" customHeight="1" x14ac:dyDescent="0.3">
      <c r="A909" s="98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</row>
    <row r="910" spans="1:26" ht="13.5" customHeight="1" x14ac:dyDescent="0.3">
      <c r="A910" s="98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</row>
    <row r="911" spans="1:26" ht="13.5" customHeight="1" x14ac:dyDescent="0.3">
      <c r="A911" s="98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</row>
    <row r="912" spans="1:26" ht="13.5" customHeight="1" x14ac:dyDescent="0.3">
      <c r="A912" s="98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</row>
    <row r="913" spans="1:26" ht="13.5" customHeight="1" x14ac:dyDescent="0.3">
      <c r="A913" s="98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</row>
    <row r="914" spans="1:26" ht="13.5" customHeight="1" x14ac:dyDescent="0.3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</row>
    <row r="915" spans="1:26" ht="13.5" customHeight="1" x14ac:dyDescent="0.3">
      <c r="A915" s="98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</row>
    <row r="916" spans="1:26" ht="13.5" customHeight="1" x14ac:dyDescent="0.3">
      <c r="A916" s="98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</row>
    <row r="917" spans="1:26" ht="13.5" customHeight="1" x14ac:dyDescent="0.3">
      <c r="A917" s="98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</row>
    <row r="918" spans="1:26" ht="13.5" customHeight="1" x14ac:dyDescent="0.3">
      <c r="A918" s="98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</row>
    <row r="919" spans="1:26" ht="13.5" customHeight="1" x14ac:dyDescent="0.3">
      <c r="A919" s="98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</row>
    <row r="920" spans="1:26" ht="13.5" customHeight="1" x14ac:dyDescent="0.3">
      <c r="A920" s="98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</row>
    <row r="921" spans="1:26" ht="13.5" customHeight="1" x14ac:dyDescent="0.3">
      <c r="A921" s="98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</row>
    <row r="922" spans="1:26" ht="13.5" customHeight="1" x14ac:dyDescent="0.3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</row>
    <row r="923" spans="1:26" ht="13.5" customHeight="1" x14ac:dyDescent="0.3">
      <c r="A923" s="98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</row>
    <row r="924" spans="1:26" ht="13.5" customHeight="1" x14ac:dyDescent="0.3">
      <c r="A924" s="98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</row>
    <row r="925" spans="1:26" ht="13.5" customHeight="1" x14ac:dyDescent="0.3">
      <c r="A925" s="98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</row>
    <row r="926" spans="1:26" ht="13.5" customHeight="1" x14ac:dyDescent="0.3">
      <c r="A926" s="98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</row>
    <row r="927" spans="1:26" ht="13.5" customHeight="1" x14ac:dyDescent="0.3">
      <c r="A927" s="98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</row>
    <row r="928" spans="1:26" ht="13.5" customHeight="1" x14ac:dyDescent="0.3">
      <c r="A928" s="98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</row>
    <row r="929" spans="1:26" ht="13.5" customHeight="1" x14ac:dyDescent="0.3">
      <c r="A929" s="98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</row>
    <row r="930" spans="1:26" ht="13.5" customHeight="1" x14ac:dyDescent="0.3">
      <c r="A930" s="98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</row>
    <row r="931" spans="1:26" ht="13.5" customHeight="1" x14ac:dyDescent="0.3">
      <c r="A931" s="98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</row>
    <row r="932" spans="1:26" ht="13.5" customHeight="1" x14ac:dyDescent="0.3">
      <c r="A932" s="98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</row>
    <row r="933" spans="1:26" ht="13.5" customHeight="1" x14ac:dyDescent="0.3">
      <c r="A933" s="98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</row>
    <row r="934" spans="1:26" ht="13.5" customHeight="1" x14ac:dyDescent="0.3">
      <c r="A934" s="98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</row>
    <row r="935" spans="1:26" ht="13.5" customHeight="1" x14ac:dyDescent="0.3">
      <c r="A935" s="98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</row>
    <row r="936" spans="1:26" ht="13.5" customHeight="1" x14ac:dyDescent="0.3">
      <c r="A936" s="98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</row>
    <row r="937" spans="1:26" ht="13.5" customHeight="1" x14ac:dyDescent="0.3">
      <c r="A937" s="98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</row>
    <row r="938" spans="1:26" ht="13.5" customHeight="1" x14ac:dyDescent="0.3">
      <c r="A938" s="98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</row>
    <row r="939" spans="1:26" ht="13.5" customHeight="1" x14ac:dyDescent="0.3">
      <c r="A939" s="98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</row>
    <row r="940" spans="1:26" ht="13.5" customHeight="1" x14ac:dyDescent="0.3">
      <c r="A940" s="98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</row>
    <row r="941" spans="1:26" ht="13.5" customHeight="1" x14ac:dyDescent="0.3">
      <c r="A941" s="98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</row>
    <row r="942" spans="1:26" ht="13.5" customHeight="1" x14ac:dyDescent="0.3">
      <c r="A942" s="98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</row>
    <row r="943" spans="1:26" ht="13.5" customHeight="1" x14ac:dyDescent="0.3">
      <c r="A943" s="98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</row>
    <row r="944" spans="1:26" ht="13.5" customHeight="1" x14ac:dyDescent="0.3">
      <c r="A944" s="98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</row>
    <row r="945" spans="1:26" ht="13.5" customHeight="1" x14ac:dyDescent="0.3">
      <c r="A945" s="98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</row>
    <row r="946" spans="1:26" ht="13.5" customHeight="1" x14ac:dyDescent="0.3">
      <c r="A946" s="98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</row>
    <row r="947" spans="1:26" ht="13.5" customHeight="1" x14ac:dyDescent="0.3">
      <c r="A947" s="98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</row>
    <row r="948" spans="1:26" ht="13.5" customHeight="1" x14ac:dyDescent="0.3">
      <c r="A948" s="98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</row>
    <row r="949" spans="1:26" ht="13.5" customHeight="1" x14ac:dyDescent="0.3">
      <c r="A949" s="98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</row>
    <row r="950" spans="1:26" ht="13.5" customHeight="1" x14ac:dyDescent="0.3">
      <c r="A950" s="98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</row>
    <row r="951" spans="1:26" ht="13.5" customHeight="1" x14ac:dyDescent="0.3">
      <c r="A951" s="98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</row>
    <row r="952" spans="1:26" ht="13.5" customHeight="1" x14ac:dyDescent="0.3">
      <c r="A952" s="98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</row>
    <row r="953" spans="1:26" ht="13.5" customHeight="1" x14ac:dyDescent="0.3">
      <c r="A953" s="98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</row>
    <row r="954" spans="1:26" ht="13.5" customHeight="1" x14ac:dyDescent="0.3">
      <c r="A954" s="98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</row>
    <row r="955" spans="1:26" ht="13.5" customHeight="1" x14ac:dyDescent="0.3">
      <c r="A955" s="98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</row>
    <row r="956" spans="1:26" ht="13.5" customHeight="1" x14ac:dyDescent="0.3">
      <c r="A956" s="98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</row>
    <row r="957" spans="1:26" ht="13.5" customHeight="1" x14ac:dyDescent="0.3">
      <c r="A957" s="98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</row>
    <row r="958" spans="1:26" ht="13.5" customHeight="1" x14ac:dyDescent="0.3">
      <c r="A958" s="98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</row>
    <row r="959" spans="1:26" ht="13.5" customHeight="1" x14ac:dyDescent="0.3">
      <c r="A959" s="98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</row>
    <row r="960" spans="1:26" ht="13.5" customHeight="1" x14ac:dyDescent="0.3">
      <c r="A960" s="98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</row>
    <row r="961" spans="1:26" ht="13.5" customHeight="1" x14ac:dyDescent="0.3">
      <c r="A961" s="98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</row>
    <row r="962" spans="1:26" ht="13.5" customHeight="1" x14ac:dyDescent="0.3">
      <c r="A962" s="98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</row>
    <row r="963" spans="1:26" ht="13.5" customHeight="1" x14ac:dyDescent="0.3">
      <c r="A963" s="98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</row>
    <row r="964" spans="1:26" ht="13.5" customHeight="1" x14ac:dyDescent="0.3">
      <c r="A964" s="98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</row>
    <row r="965" spans="1:26" ht="13.5" customHeight="1" x14ac:dyDescent="0.3">
      <c r="A965" s="98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</row>
    <row r="966" spans="1:26" ht="13.5" customHeight="1" x14ac:dyDescent="0.3">
      <c r="A966" s="98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</row>
    <row r="967" spans="1:26" ht="13.5" customHeight="1" x14ac:dyDescent="0.3">
      <c r="A967" s="98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</row>
    <row r="968" spans="1:26" ht="13.5" customHeight="1" x14ac:dyDescent="0.3">
      <c r="A968" s="98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</row>
    <row r="969" spans="1:26" ht="13.5" customHeight="1" x14ac:dyDescent="0.3">
      <c r="A969" s="98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</row>
    <row r="970" spans="1:26" ht="13.5" customHeight="1" x14ac:dyDescent="0.3">
      <c r="A970" s="98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</row>
    <row r="971" spans="1:26" ht="13.5" customHeight="1" x14ac:dyDescent="0.3">
      <c r="A971" s="98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</row>
    <row r="972" spans="1:26" ht="13.5" customHeight="1" x14ac:dyDescent="0.3">
      <c r="A972" s="98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</row>
    <row r="973" spans="1:26" ht="13.5" customHeight="1" x14ac:dyDescent="0.3">
      <c r="A973" s="98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</row>
    <row r="974" spans="1:26" ht="13.5" customHeight="1" x14ac:dyDescent="0.3">
      <c r="A974" s="98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</row>
    <row r="975" spans="1:26" ht="13.5" customHeight="1" x14ac:dyDescent="0.3">
      <c r="A975" s="98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</row>
    <row r="976" spans="1:26" ht="13.5" customHeight="1" x14ac:dyDescent="0.3">
      <c r="A976" s="98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</row>
    <row r="977" spans="1:26" ht="13.5" customHeight="1" x14ac:dyDescent="0.3">
      <c r="A977" s="98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</row>
    <row r="978" spans="1:26" ht="13.5" customHeight="1" x14ac:dyDescent="0.3">
      <c r="A978" s="98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</row>
    <row r="979" spans="1:26" ht="13.5" customHeight="1" x14ac:dyDescent="0.3">
      <c r="A979" s="98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</row>
    <row r="980" spans="1:26" ht="13.5" customHeight="1" x14ac:dyDescent="0.3">
      <c r="A980" s="98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</row>
    <row r="981" spans="1:26" ht="13.5" customHeight="1" x14ac:dyDescent="0.3">
      <c r="A981" s="98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</row>
    <row r="982" spans="1:26" ht="13.5" customHeight="1" x14ac:dyDescent="0.3">
      <c r="A982" s="98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</row>
    <row r="983" spans="1:26" ht="13.5" customHeight="1" x14ac:dyDescent="0.3">
      <c r="A983" s="98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</row>
    <row r="984" spans="1:26" ht="13.5" customHeight="1" x14ac:dyDescent="0.3">
      <c r="A984" s="98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</row>
    <row r="985" spans="1:26" ht="13.5" customHeight="1" x14ac:dyDescent="0.3">
      <c r="A985" s="98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</row>
    <row r="986" spans="1:26" ht="13.5" customHeight="1" x14ac:dyDescent="0.3">
      <c r="A986" s="98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</row>
    <row r="987" spans="1:26" ht="13.5" customHeight="1" x14ac:dyDescent="0.3">
      <c r="A987" s="98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</row>
    <row r="988" spans="1:26" ht="13.5" customHeight="1" x14ac:dyDescent="0.3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</row>
    <row r="989" spans="1:26" ht="13.5" customHeight="1" x14ac:dyDescent="0.3">
      <c r="A989" s="98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</row>
    <row r="990" spans="1:26" ht="13.5" customHeight="1" x14ac:dyDescent="0.3">
      <c r="A990" s="98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</row>
    <row r="991" spans="1:26" ht="13.5" customHeight="1" x14ac:dyDescent="0.3">
      <c r="A991" s="98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</row>
    <row r="992" spans="1:26" ht="13.5" customHeight="1" x14ac:dyDescent="0.3">
      <c r="A992" s="98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</row>
    <row r="993" spans="1:26" ht="13.5" customHeight="1" x14ac:dyDescent="0.3">
      <c r="A993" s="98"/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</row>
    <row r="994" spans="1:26" ht="13.5" customHeight="1" x14ac:dyDescent="0.3">
      <c r="A994" s="98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</row>
    <row r="995" spans="1:26" ht="13.5" customHeight="1" x14ac:dyDescent="0.3">
      <c r="A995" s="98"/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</row>
    <row r="996" spans="1:26" ht="13.5" customHeight="1" x14ac:dyDescent="0.3">
      <c r="A996" s="98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</row>
    <row r="997" spans="1:26" ht="13.5" customHeight="1" x14ac:dyDescent="0.3">
      <c r="A997" s="98"/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</row>
    <row r="998" spans="1:26" ht="13.5" customHeight="1" x14ac:dyDescent="0.3">
      <c r="A998" s="98"/>
      <c r="B998" s="98"/>
      <c r="C998" s="98"/>
      <c r="D998" s="98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  <c r="X998" s="98"/>
      <c r="Y998" s="98"/>
      <c r="Z998" s="98"/>
    </row>
    <row r="999" spans="1:26" ht="13.5" customHeight="1" x14ac:dyDescent="0.3">
      <c r="A999" s="98"/>
      <c r="B999" s="98"/>
      <c r="C999" s="98"/>
      <c r="D999" s="98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  <c r="X999" s="98"/>
      <c r="Y999" s="98"/>
      <c r="Z999" s="98"/>
    </row>
  </sheetData>
  <mergeCells count="12">
    <mergeCell ref="A64:C64"/>
    <mergeCell ref="A65:C65"/>
    <mergeCell ref="A45:I45"/>
    <mergeCell ref="A58:C58"/>
    <mergeCell ref="A61:I61"/>
    <mergeCell ref="A62:C62"/>
    <mergeCell ref="A63:C63"/>
    <mergeCell ref="A1:I1"/>
    <mergeCell ref="A2:I2"/>
    <mergeCell ref="A4:I4"/>
    <mergeCell ref="A21:C21"/>
    <mergeCell ref="A24:I24"/>
  </mergeCells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000"/>
  <sheetViews>
    <sheetView showGridLines="0" topLeftCell="A37" zoomScaleNormal="100" workbookViewId="0">
      <selection activeCell="B20" sqref="B20"/>
    </sheetView>
  </sheetViews>
  <sheetFormatPr defaultColWidth="12.5703125" defaultRowHeight="15" x14ac:dyDescent="0.25"/>
  <cols>
    <col min="1" max="1" width="41.42578125" customWidth="1"/>
    <col min="2" max="2" width="35.42578125" customWidth="1"/>
    <col min="3" max="3" width="33.5703125" customWidth="1"/>
    <col min="4" max="4" width="32.5703125" customWidth="1"/>
    <col min="5" max="5" width="30" customWidth="1"/>
    <col min="6" max="6" width="23.5703125" customWidth="1"/>
    <col min="7" max="7" width="23" customWidth="1"/>
    <col min="8" max="8" width="22.5703125" customWidth="1"/>
    <col min="9" max="9" width="30" customWidth="1"/>
    <col min="10" max="10" width="25.42578125" customWidth="1"/>
    <col min="11" max="12" width="18" customWidth="1"/>
    <col min="13" max="24" width="8.5703125" customWidth="1"/>
  </cols>
  <sheetData>
    <row r="1" spans="1:24" ht="24" customHeight="1" x14ac:dyDescent="0.3">
      <c r="A1" s="219" t="s">
        <v>517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7.75" customHeight="1" x14ac:dyDescent="0.3">
      <c r="A2" s="220" t="s">
        <v>518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24" customHeight="1" x14ac:dyDescent="0.3">
      <c r="A3" s="116" t="s">
        <v>519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7.25" customHeight="1" x14ac:dyDescent="0.3">
      <c r="A4" s="221" t="s">
        <v>520</v>
      </c>
      <c r="B4" s="221"/>
      <c r="C4" s="221"/>
      <c r="D4" s="221"/>
      <c r="E4" s="22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7.25" customHeight="1" x14ac:dyDescent="0.3">
      <c r="A5" s="4" t="s">
        <v>521</v>
      </c>
      <c r="B5" s="4" t="s">
        <v>84</v>
      </c>
      <c r="C5" s="4" t="s">
        <v>522</v>
      </c>
      <c r="D5" s="4" t="s">
        <v>79</v>
      </c>
      <c r="E5" s="117" t="s">
        <v>523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7.25" customHeight="1" x14ac:dyDescent="0.3">
      <c r="A6" s="16" t="s">
        <v>524</v>
      </c>
      <c r="B6" s="16" t="s">
        <v>108</v>
      </c>
      <c r="C6" s="118">
        <f>D23</f>
        <v>37500</v>
      </c>
      <c r="D6" s="118">
        <f>G23</f>
        <v>70000</v>
      </c>
      <c r="E6" s="119">
        <f>J23</f>
        <v>100000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7.25" customHeight="1" x14ac:dyDescent="0.3">
      <c r="A7" s="16" t="s">
        <v>525</v>
      </c>
      <c r="B7" s="16" t="s">
        <v>113</v>
      </c>
      <c r="C7" s="120">
        <f>'DIA_Giả Định'!$G$8</f>
        <v>0.05</v>
      </c>
      <c r="D7" s="120">
        <f>'DIA_Giả Định'!$J$8</f>
        <v>0.06</v>
      </c>
      <c r="E7" s="121">
        <f>'DIA_Giả Định'!$M$8</f>
        <v>7.0000000000000007E-2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7.25" customHeight="1" x14ac:dyDescent="0.3">
      <c r="A8" s="16" t="s">
        <v>526</v>
      </c>
      <c r="B8" s="16" t="s">
        <v>155</v>
      </c>
      <c r="C8" s="118">
        <f>D26</f>
        <v>25</v>
      </c>
      <c r="D8" s="118">
        <f>G26</f>
        <v>40</v>
      </c>
      <c r="E8" s="119">
        <f>J26</f>
        <v>55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32.25" customHeight="1" x14ac:dyDescent="0.3">
      <c r="A9" s="16" t="s">
        <v>527</v>
      </c>
      <c r="B9" s="16" t="s">
        <v>486</v>
      </c>
      <c r="C9" s="122">
        <f>SUM(B32:D32)</f>
        <v>3374880437.2776494</v>
      </c>
      <c r="D9" s="122">
        <f>SUM(E32:G32)</f>
        <v>10736359113.000801</v>
      </c>
      <c r="E9" s="71">
        <f>SUM(H32:J32)</f>
        <v>10923369395.552303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32.25" customHeight="1" x14ac:dyDescent="0.3">
      <c r="A10" s="16" t="s">
        <v>528</v>
      </c>
      <c r="B10" s="16" t="s">
        <v>486</v>
      </c>
      <c r="C10" s="122">
        <f>SUM(B35:D35)</f>
        <v>-4384016052.7223511</v>
      </c>
      <c r="D10" s="122">
        <f>SUM(E35:G35)</f>
        <v>-683489218.25319886</v>
      </c>
      <c r="E10" s="71">
        <f>SUM(H35:J35)</f>
        <v>-4458850622.2876978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32.25" customHeight="1" x14ac:dyDescent="0.3">
      <c r="A11" s="16" t="s">
        <v>529</v>
      </c>
      <c r="B11" s="16" t="s">
        <v>486</v>
      </c>
      <c r="C11" s="122">
        <f>SUM(B39:D39)</f>
        <v>-5482816052.7223511</v>
      </c>
      <c r="D11" s="122">
        <f>SUM(E39:G39)</f>
        <v>-2081417517.0531991</v>
      </c>
      <c r="E11" s="71">
        <f>SUM(H39:J39)</f>
        <v>-5726800622.2876978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32.25" customHeight="1" x14ac:dyDescent="0.3">
      <c r="A12" s="16" t="s">
        <v>530</v>
      </c>
      <c r="B12" s="16" t="s">
        <v>486</v>
      </c>
      <c r="C12" s="122">
        <f>B46</f>
        <v>-3294540581.3546405</v>
      </c>
      <c r="D12" s="122">
        <f>E46</f>
        <v>-1459435901.8367014</v>
      </c>
      <c r="E12" s="123">
        <f>H46</f>
        <v>-4441121775.2676315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7.25" customHeight="1" x14ac:dyDescent="0.3">
      <c r="A13" s="16" t="s">
        <v>531</v>
      </c>
      <c r="B13" s="16" t="s">
        <v>113</v>
      </c>
      <c r="C13" s="120">
        <f>B47</f>
        <v>0</v>
      </c>
      <c r="D13" s="120">
        <f>E47</f>
        <v>0</v>
      </c>
      <c r="E13" s="121">
        <f>H47</f>
        <v>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7.25" customHeight="1" x14ac:dyDescent="0.3">
      <c r="A14" s="16" t="s">
        <v>532</v>
      </c>
      <c r="B14" s="16" t="s">
        <v>258</v>
      </c>
      <c r="C14" s="16" t="str">
        <f>B48</f>
        <v>&gt;3 năm</v>
      </c>
      <c r="D14" s="16" t="str">
        <f>E48</f>
        <v>&gt;3 năm</v>
      </c>
      <c r="E14" s="71" t="str">
        <f>H48</f>
        <v>&gt;3 năm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7.25" customHeight="1" x14ac:dyDescent="0.3">
      <c r="A15" s="16" t="s">
        <v>533</v>
      </c>
      <c r="B15" s="16" t="s">
        <v>486</v>
      </c>
      <c r="C15" s="122">
        <f>B49</f>
        <v>4367677842.1778812</v>
      </c>
      <c r="D15" s="122">
        <f>E49</f>
        <v>1745086374.6025593</v>
      </c>
      <c r="E15" s="123">
        <f>H49</f>
        <v>5444165497.8301582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3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3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3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3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7.25" customHeight="1" x14ac:dyDescent="0.3">
      <c r="A20" s="124"/>
      <c r="B20" s="222" t="s">
        <v>534</v>
      </c>
      <c r="C20" s="222"/>
      <c r="D20" s="222"/>
      <c r="E20" s="222" t="s">
        <v>535</v>
      </c>
      <c r="F20" s="222"/>
      <c r="G20" s="222"/>
      <c r="H20" s="222" t="s">
        <v>536</v>
      </c>
      <c r="I20" s="222"/>
      <c r="J20" s="22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7.25" customHeight="1" x14ac:dyDescent="0.3">
      <c r="A21" s="125" t="s">
        <v>521</v>
      </c>
      <c r="B21" s="125" t="s">
        <v>467</v>
      </c>
      <c r="C21" s="125" t="s">
        <v>469</v>
      </c>
      <c r="D21" s="125" t="s">
        <v>471</v>
      </c>
      <c r="E21" s="125" t="s">
        <v>467</v>
      </c>
      <c r="F21" s="125" t="s">
        <v>469</v>
      </c>
      <c r="G21" s="125" t="s">
        <v>471</v>
      </c>
      <c r="H21" s="125" t="s">
        <v>467</v>
      </c>
      <c r="I21" s="125" t="s">
        <v>469</v>
      </c>
      <c r="J21" s="125" t="s">
        <v>471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7.25" customHeight="1" x14ac:dyDescent="0.3">
      <c r="A22" s="126" t="s">
        <v>537</v>
      </c>
      <c r="B22" s="127">
        <f>'DIA_Giả Định'!$E$90*'DIA_Giả Định'!$E$91+'DIA_Giả Định'!$E$92*'DIA_Giả Định'!$E$93+'DIA_Giả Định'!$E$94*'DIA_Giả Định'!$E$95+'DIA_Giả Định'!$E$96*'DIA_Giả Định'!$E$97+'DIA_Giả Định'!$E$98*'DIA_Giả Định'!$E$99+'DIA_Giả Định'!$E$100*'DIA_Giả Định'!$E$101+'DIA_Giả Định'!$E$102*'DIA_Giả Định'!$E$103+'DIA_Giả Định'!$E$104*'DIA_Giả Định'!$E$105+'DIA_Giả Định'!$E$106*'DIA_Giả Định'!$E$107+'DIA_Giả Định'!$E$108*'DIA_Giả Định'!$E$109+'DIA_Giả Định'!$E$110*'DIA_Giả Định'!$E$111+'DIA_Giả Định'!$E$112*'DIA_Giả Định'!$E$113+'DIA_Giả Định'!$E$114*'DIA_Giả Định'!$E$115+'DIA_Giả Định'!$E$116*'DIA_Giả Định'!$E$117+'DIA_Giả Định'!$E$118*'DIA_Giả Định'!$E$119</f>
        <v>684600000</v>
      </c>
      <c r="C22" s="127">
        <v>0</v>
      </c>
      <c r="D22" s="127">
        <v>0</v>
      </c>
      <c r="E22" s="127">
        <f>'DIA_Giả Định'!$H$90*'DIA_Giả Định'!$H$91+'DIA_Giả Định'!$H$92*'DIA_Giả Định'!$H$93+'DIA_Giả Định'!$H$94*'DIA_Giả Định'!$H$95+'DIA_Giả Định'!$H$96*'DIA_Giả Định'!$H$97+'DIA_Giả Định'!$H$98*'DIA_Giả Định'!$H$99+'DIA_Giả Định'!$H$100*'DIA_Giả Định'!$H$101+'DIA_Giả Định'!$H$102*'DIA_Giả Định'!$H$103+'DIA_Giả Định'!$H$104*'DIA_Giả Định'!$H$105+'DIA_Giả Định'!$H$106*'DIA_Giả Định'!$H$107+'DIA_Giả Định'!$H$108*'DIA_Giả Định'!$H$109+'DIA_Giả Định'!$H$110*'DIA_Giả Định'!$H$111+'DIA_Giả Định'!$H$112*'DIA_Giả Định'!$H$113+'DIA_Giả Định'!$H$114*'DIA_Giả Định'!$H$115+'DIA_Giả Định'!$H$116*'DIA_Giả Định'!$H$117+'DIA_Giả Định'!$H$118*'DIA_Giả Định'!$H$119</f>
        <v>880400000</v>
      </c>
      <c r="F22" s="127">
        <v>0</v>
      </c>
      <c r="G22" s="127">
        <v>0</v>
      </c>
      <c r="H22" s="127">
        <f>'DIA_Giả Định'!$K$90*'DIA_Giả Định'!$K$91+'DIA_Giả Định'!$K$92*'DIA_Giả Định'!$K$93+'DIA_Giả Định'!$K$94*'DIA_Giả Định'!$K$95+'DIA_Giả Định'!$K$96*'DIA_Giả Định'!$K$97+'DIA_Giả Định'!$K$98*'DIA_Giả Định'!$K$99+'DIA_Giả Định'!$K$100*'DIA_Giả Định'!$K$101+'DIA_Giả Định'!$K$102*'DIA_Giả Định'!$K$103+'DIA_Giả Định'!$K$104*'DIA_Giả Định'!$K$105+'DIA_Giả Định'!$K$106*'DIA_Giả Định'!$K$107+'DIA_Giả Định'!$K$108*'DIA_Giả Định'!$K$109+'DIA_Giả Định'!$K$110*'DIA_Giả Định'!$K$111+'DIA_Giả Định'!$K$112*'DIA_Giả Định'!$K$113+'DIA_Giả Định'!$K$114*'DIA_Giả Định'!$K$115+'DIA_Giả Định'!$K$116*'DIA_Giả Định'!$K$117+'DIA_Giả Định'!$K$118*'DIA_Giả Định'!$K$119</f>
        <v>1086050000</v>
      </c>
      <c r="I22" s="127">
        <v>0</v>
      </c>
      <c r="J22" s="127"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7.25" customHeight="1" x14ac:dyDescent="0.3">
      <c r="A23" s="126" t="s">
        <v>538</v>
      </c>
      <c r="B23" s="128">
        <f>'DIA_Giả Định'!$E$6</f>
        <v>20000</v>
      </c>
      <c r="C23" s="128">
        <f>'DIA_Giả Định'!$F$6</f>
        <v>30000</v>
      </c>
      <c r="D23" s="128">
        <f>'DIA_Giả Định'!$G$6</f>
        <v>37500</v>
      </c>
      <c r="E23" s="128">
        <f>'DIA_Giả Định'!$H$6</f>
        <v>70000</v>
      </c>
      <c r="F23" s="128">
        <f>'DIA_Giả Định'!$I$6</f>
        <v>190000</v>
      </c>
      <c r="G23" s="128">
        <f>'DIA_Giả Định'!$J$6</f>
        <v>70000</v>
      </c>
      <c r="H23" s="128">
        <f>'DIA_Giả Định'!$K$6</f>
        <v>50000</v>
      </c>
      <c r="I23" s="128">
        <f>'DIA_Giả Định'!$L$6</f>
        <v>70000</v>
      </c>
      <c r="J23" s="128">
        <f>'DIA_Giả Định'!$M$6</f>
        <v>100000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7.25" customHeight="1" x14ac:dyDescent="0.3">
      <c r="A24" s="126" t="s">
        <v>539</v>
      </c>
      <c r="B24" s="128">
        <f>('DIA_Giả Định'!$E$6*'DIA_Giả Định'!$E$7)</f>
        <v>6000</v>
      </c>
      <c r="C24" s="128">
        <f>('DIA_Giả Định'!$F$6*'DIA_Giả Định'!$F$7)</f>
        <v>12000</v>
      </c>
      <c r="D24" s="128">
        <f>('DIA_Giả Định'!$G$6*'DIA_Giả Định'!$G$7)</f>
        <v>18750</v>
      </c>
      <c r="E24" s="128">
        <f>('DIA_Giả Định'!$H$6*'DIA_Giả Định'!$H$7)</f>
        <v>24500</v>
      </c>
      <c r="F24" s="128">
        <f>('DIA_Giả Định'!$I$6*'DIA_Giả Định'!$I$7)</f>
        <v>85500</v>
      </c>
      <c r="G24" s="128">
        <f>('DIA_Giả Định'!$J$6*'DIA_Giả Định'!$J$7)</f>
        <v>38500</v>
      </c>
      <c r="H24" s="128">
        <f>('DIA_Giả Định'!$K$6*'DIA_Giả Định'!$K$7)</f>
        <v>20000</v>
      </c>
      <c r="I24" s="128">
        <f>('DIA_Giả Định'!$L$6*'DIA_Giả Định'!$L$7)</f>
        <v>35000</v>
      </c>
      <c r="J24" s="128">
        <f>('DIA_Giả Định'!$M$6*'DIA_Giả Định'!$M$7)</f>
        <v>60000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7.25" customHeight="1" x14ac:dyDescent="0.3">
      <c r="A25" s="126" t="s">
        <v>540</v>
      </c>
      <c r="B25" s="128">
        <f>('DIA_Giả Định'!$E$6*'DIA_Giả Định'!$E$8)</f>
        <v>600</v>
      </c>
      <c r="C25" s="128">
        <f>('DIA_Giả Định'!$F$6*'DIA_Giả Định'!$F$8)</f>
        <v>1200</v>
      </c>
      <c r="D25" s="128">
        <f>('DIA_Giả Định'!$G$6*'DIA_Giả Định'!$G$8)</f>
        <v>1875</v>
      </c>
      <c r="E25" s="128">
        <f>('DIA_Giả Định'!$H$6*'DIA_Giả Định'!$H$8)</f>
        <v>2800</v>
      </c>
      <c r="F25" s="128">
        <f>('DIA_Giả Định'!$I$6*'DIA_Giả Định'!$I$8)</f>
        <v>9500</v>
      </c>
      <c r="G25" s="128">
        <f>('DIA_Giả Định'!$J$6*'DIA_Giả Định'!$J$8)</f>
        <v>4200</v>
      </c>
      <c r="H25" s="128">
        <f>('DIA_Giả Định'!$K$6*'DIA_Giả Định'!$K$8)</f>
        <v>2500</v>
      </c>
      <c r="I25" s="128">
        <f>('DIA_Giả Định'!$L$6*'DIA_Giả Định'!$L$8)</f>
        <v>4200</v>
      </c>
      <c r="J25" s="128">
        <f>('DIA_Giả Định'!$M$6*'DIA_Giả Định'!$M$8)</f>
        <v>7000.0000000000009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7.25" customHeight="1" x14ac:dyDescent="0.3">
      <c r="A26" s="126" t="s">
        <v>541</v>
      </c>
      <c r="B26" s="128">
        <f>'DIA_Giả Định'!$E$25+'DIA_Giả Định'!$E$26</f>
        <v>4</v>
      </c>
      <c r="C26" s="128">
        <f>'DIA_Giả Định'!$F$25+'DIA_Giả Định'!$F$26</f>
        <v>13</v>
      </c>
      <c r="D26" s="128">
        <f>'DIA_Giả Định'!$G$25+'DIA_Giả Định'!$G$26</f>
        <v>25</v>
      </c>
      <c r="E26" s="128">
        <f>'DIA_Giả Định'!$H$25+'DIA_Giả Định'!$H$26</f>
        <v>60</v>
      </c>
      <c r="F26" s="128">
        <f>'DIA_Giả Định'!$I$25+'DIA_Giả Định'!$I$26</f>
        <v>180</v>
      </c>
      <c r="G26" s="128">
        <f>'DIA_Giả Định'!$J$25+'DIA_Giả Định'!$J$26</f>
        <v>40</v>
      </c>
      <c r="H26" s="128">
        <f>'DIA_Giả Định'!$K$25+'DIA_Giả Định'!$K$26</f>
        <v>11</v>
      </c>
      <c r="I26" s="128">
        <f>'DIA_Giả Định'!$L$25+'DIA_Giả Định'!$L$26</f>
        <v>30</v>
      </c>
      <c r="J26" s="128">
        <f>'DIA_Giả Định'!$M$25+'DIA_Giả Định'!$M$26</f>
        <v>55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7.25" customHeight="1" x14ac:dyDescent="0.3">
      <c r="A27" s="126" t="s">
        <v>542</v>
      </c>
      <c r="B27" s="128">
        <f>(('DIA_Giả Định'!$E$25*'DIA_Giả Định'!$E$30)*'DIA_Giả Định'!$E$37*'DIA_Giả Định'!$E$5+('DIA_Giả Định'!$E$26*'DIA_Giả Định'!$E$30)*'DIA_Giả Định'!$E$37*'DIA_Giả Định'!$E$5)</f>
        <v>19176000</v>
      </c>
      <c r="C27" s="128">
        <f>(('DIA_Giả Định'!$F$25*'DIA_Giả Định'!$F$30)*'DIA_Giả Định'!$F$37*'DIA_Giả Định'!$F$5+('DIA_Giả Định'!$F$26*'DIA_Giả Định'!$F$30)*'DIA_Giả Định'!$F$37*'DIA_Giả Định'!$F$5)</f>
        <v>205860787.6483044</v>
      </c>
      <c r="D27" s="128">
        <f>(('DIA_Giả Định'!$G$25*'DIA_Giả Định'!$G$30)*'DIA_Giả Định'!$G$37*'DIA_Giả Định'!$G$5+('DIA_Giả Định'!$G$26*'DIA_Giả Định'!$G$30)*'DIA_Giả Định'!$G$37*'DIA_Giả Định'!$G$5)</f>
        <v>1307683170.6293452</v>
      </c>
      <c r="E27" s="128">
        <f>(('DIA_Giả Định'!$H$25*'DIA_Giả Định'!$H$30)*'DIA_Giả Định'!$H$37*'DIA_Giả Định'!$H$5+('DIA_Giả Định'!$H$26*'DIA_Giả Định'!$H$30)*'DIA_Giả Định'!$H$37*'DIA_Giả Định'!$H$5)</f>
        <v>323640000</v>
      </c>
      <c r="F27" s="128">
        <f>(('DIA_Giả Định'!$I$25*'DIA_Giả Định'!$I$30)*'DIA_Giả Định'!$I$37*'DIA_Giả Định'!$I$5+('DIA_Giả Định'!$I$26*'DIA_Giả Định'!$I$30)*'DIA_Giả Định'!$I$37*'DIA_Giả Định'!$I$5)</f>
        <v>1072575324</v>
      </c>
      <c r="G27" s="128">
        <f>(('DIA_Giả Định'!$J$25*'DIA_Giả Định'!$J$30)*'DIA_Giả Định'!$J$37*'DIA_Giả Định'!$J$5+('DIA_Giả Định'!$J$26*'DIA_Giả Định'!$J$30)*'DIA_Giả Định'!$J$37*'DIA_Giả Định'!$J$5)</f>
        <v>263305324.53840002</v>
      </c>
      <c r="H27" s="128">
        <f>(('DIA_Giả Định'!$K$25*'DIA_Giả Định'!$K$30)*'DIA_Giả Định'!$K$37*'DIA_Giả Định'!$K$5+('DIA_Giả Định'!$K$26*'DIA_Giả Định'!$K$30)*'DIA_Giả Định'!$K$37*'DIA_Giả Định'!$K$5)</f>
        <v>65934000</v>
      </c>
      <c r="I27" s="128">
        <f>(('DIA_Giả Định'!$L$25*'DIA_Giả Định'!$L$30)*'DIA_Giả Định'!$L$37*'DIA_Giả Định'!$L$5+('DIA_Giả Định'!$L$26*'DIA_Giả Định'!$L$30)*'DIA_Giả Định'!$L$37*'DIA_Giả Định'!$L$5)</f>
        <v>198647154.00000003</v>
      </c>
      <c r="J27" s="128">
        <f>(('DIA_Giả Định'!$M$25*'DIA_Giả Định'!$M$30)*'DIA_Giả Định'!$M$37*'DIA_Giả Định'!$M$5+('DIA_Giả Định'!$M$26*'DIA_Giả Định'!$M$30)*'DIA_Giả Định'!$M$37*'DIA_Giả Định'!$M$5)</f>
        <v>402316770.21030003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32.25" customHeight="1" x14ac:dyDescent="0.3">
      <c r="A28" s="126" t="s">
        <v>543</v>
      </c>
      <c r="B28" s="127">
        <f>(('DIA_Giả Định'!$E$6*'DIA_Giả Định'!$E$8)*'DIA_Giả Định'!$E$9*'DIA_Giả Định'!$E$35*'DIA_Giả Định'!$E$5+('DIA_Giả Định'!$E$6*'DIA_Giả Định'!$E$8)*'DIA_Giả Định'!$E$10*'DIA_Giả Định'!$E$36)</f>
        <v>201450000</v>
      </c>
      <c r="C28" s="127">
        <f>(('DIA_Giả Định'!$F$6*'DIA_Giả Định'!$F$8)*'DIA_Giả Định'!$F$9*'DIA_Giả Định'!$F$35*'DIA_Giả Định'!$F$5+('DIA_Giả Định'!$F$6*'DIA_Giả Định'!$F$8)*'DIA_Giả Định'!$F$10*'DIA_Giả Định'!$F$36)</f>
        <v>441329904</v>
      </c>
      <c r="D28" s="129">
        <f>(('DIA_Giả Định'!$G$6*'DIA_Giả Định'!$G$8)*'DIA_Giả Định'!$G$9*'DIA_Giả Định'!$G$35*'DIA_Giả Định'!$G$5+('DIA_Giả Định'!$G$6*'DIA_Giả Định'!$G$8)*'DIA_Giả Định'!$G$10*'DIA_Giả Định'!$G$36)</f>
        <v>705955575</v>
      </c>
      <c r="E28" s="127">
        <f>(('DIA_Giả Định'!$H$6*'DIA_Giả Định'!$H$8)*'DIA_Giả Định'!$H$9*'DIA_Giả Định'!$H$35*'DIA_Giả Định'!$H$5+('DIA_Giả Định'!$H$6*'DIA_Giả Định'!$H$8)*'DIA_Giả Định'!$H$10*'DIA_Giả Định'!$H$36)</f>
        <v>1252439999.9999998</v>
      </c>
      <c r="F28" s="127">
        <f>(('DIA_Giả Định'!$I$6*'DIA_Giả Định'!$I$8)*'DIA_Giả Định'!$I$9*'DIA_Giả Định'!$I$35*'DIA_Giả Định'!$I$5+('DIA_Giả Định'!$I$6*'DIA_Giả Định'!$I$8)*'DIA_Giả Định'!$I$10*'DIA_Giả Định'!$I$36)</f>
        <v>4651815030.000001</v>
      </c>
      <c r="G28" s="129">
        <f>(('DIA_Giả Định'!$J$6*'DIA_Giả Định'!$J$8)*'DIA_Giả Định'!$J$9*'DIA_Giả Định'!$J$35*'DIA_Giả Định'!$J$5+('DIA_Giả Định'!$J$6*'DIA_Giả Định'!$J$8)*'DIA_Giả Định'!$J$10*'DIA_Giả Định'!$J$36)</f>
        <v>2250333434.4624004</v>
      </c>
      <c r="H28" s="127">
        <f>(('DIA_Giả Định'!$K$6*'DIA_Giả Định'!$K$8)*'DIA_Giả Định'!$K$9*'DIA_Giả Định'!$K$35*'DIA_Giả Định'!$K$5+('DIA_Giả Định'!$K$6*'DIA_Giả Định'!$K$8)*'DIA_Giả Định'!$K$10*'DIA_Giả Định'!$K$36)</f>
        <v>1392125000</v>
      </c>
      <c r="I28" s="127">
        <f>(('DIA_Giả Định'!$L$6*'DIA_Giả Định'!$L$8)*'DIA_Giả Định'!$L$9*'DIA_Giả Định'!$L$35*'DIA_Giả Định'!$L$5+('DIA_Giả Định'!$L$6*'DIA_Giả Định'!$L$8)*'DIA_Giả Định'!$L$10*'DIA_Giả Định'!$L$36)</f>
        <v>2559052272</v>
      </c>
      <c r="J28" s="129">
        <f>(('DIA_Giả Định'!$M$6*'DIA_Giả Định'!$M$8)*'DIA_Giả Định'!$M$9*'DIA_Giả Định'!$M$35*'DIA_Giả Định'!$M$5+('DIA_Giả Định'!$M$6*'DIA_Giả Định'!$M$8)*'DIA_Giả Định'!$M$10*'DIA_Giả Định'!$M$36)</f>
        <v>4664594199.3420019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7.25" customHeight="1" x14ac:dyDescent="0.3">
      <c r="A29" s="126" t="s">
        <v>544</v>
      </c>
      <c r="B29" s="127">
        <f>(('DIA_Giả Định'!$E$25*'DIA_Giả Định'!$E$30)*'DIA_Giả Định'!$E$37*'DIA_Giả Định'!$E$5+('DIA_Giả Định'!$E$26*'DIA_Giả Định'!$E$30)*'DIA_Giả Định'!$E$37*'DIA_Giả Định'!$E$5)</f>
        <v>19176000</v>
      </c>
      <c r="C29" s="127">
        <f>(('DIA_Giả Định'!$F$25*'DIA_Giả Định'!$F$30)*'DIA_Giả Định'!$F$37*'DIA_Giả Định'!$F$5+('DIA_Giả Định'!$F$26*'DIA_Giả Định'!$F$30)*'DIA_Giả Định'!$F$37*'DIA_Giả Định'!$F$5)</f>
        <v>205860787.6483044</v>
      </c>
      <c r="D29" s="127">
        <f>(('DIA_Giả Định'!$G$25*'DIA_Giả Định'!$G$30)*'DIA_Giả Định'!$G$37*'DIA_Giả Định'!$G$5+('DIA_Giả Định'!$G$26*'DIA_Giả Định'!$G$30)*'DIA_Giả Định'!$G$37*'DIA_Giả Định'!$G$5)</f>
        <v>1307683170.6293452</v>
      </c>
      <c r="E29" s="127">
        <f>(('DIA_Giả Định'!$H$25*'DIA_Giả Định'!$H$30)*'DIA_Giả Định'!$H$37*'DIA_Giả Định'!$H$5+('DIA_Giả Định'!$H$26*'DIA_Giả Định'!$H$30)*'DIA_Giả Định'!$H$37*'DIA_Giả Định'!$H$5)</f>
        <v>323640000</v>
      </c>
      <c r="F29" s="127">
        <f>(('DIA_Giả Định'!$I$25*'DIA_Giả Định'!$I$30)*'DIA_Giả Định'!$I$37*'DIA_Giả Định'!$I$5+('DIA_Giả Định'!$I$26*'DIA_Giả Định'!$I$30)*'DIA_Giả Định'!$I$37*'DIA_Giả Định'!$I$5)</f>
        <v>1072575324</v>
      </c>
      <c r="G29" s="127">
        <f>(('DIA_Giả Định'!$J$25*'DIA_Giả Định'!$J$30)*'DIA_Giả Định'!$J$37*'DIA_Giả Định'!$J$5+('DIA_Giả Định'!$J$26*'DIA_Giả Định'!$J$30)*'DIA_Giả Định'!$J$37*'DIA_Giả Định'!$J$5)</f>
        <v>263305324.53840002</v>
      </c>
      <c r="H29" s="127">
        <f>(('DIA_Giả Định'!$K$25*'DIA_Giả Định'!$K$30)*'DIA_Giả Định'!$K$37*'DIA_Giả Định'!$K$5+('DIA_Giả Định'!$K$26*'DIA_Giả Định'!$K$30)*'DIA_Giả Định'!$K$37*'DIA_Giả Định'!$K$5)</f>
        <v>65934000</v>
      </c>
      <c r="I29" s="127">
        <f>(('DIA_Giả Định'!$L$25*'DIA_Giả Định'!$L$30)*'DIA_Giả Định'!$L$37*'DIA_Giả Định'!$L$5+('DIA_Giả Định'!$L$26*'DIA_Giả Định'!$L$30)*'DIA_Giả Định'!$L$37*'DIA_Giả Định'!$L$5)</f>
        <v>198647154.00000003</v>
      </c>
      <c r="J29" s="127">
        <f>(('DIA_Giả Định'!$M$25*'DIA_Giả Định'!$M$30)*'DIA_Giả Định'!$M$37*'DIA_Giả Định'!$M$5+('DIA_Giả Định'!$M$26*'DIA_Giả Định'!$M$30)*'DIA_Giả Định'!$M$37*'DIA_Giả Định'!$M$5)</f>
        <v>402316770.21030003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7.25" customHeight="1" x14ac:dyDescent="0.3">
      <c r="A30" s="126" t="s">
        <v>545</v>
      </c>
      <c r="B30" s="127">
        <f>'DIA_Giả Định'!$E$27*'DIA_Giả Định'!$E$39+'DIA_Giả Định'!$E$28*'DIA_Giả Định'!$E$40</f>
        <v>54000000</v>
      </c>
      <c r="C30" s="127">
        <f>('DIA_Giả Định'!$F$27*'DIA_Giả Định'!$F$39+'DIA_Giả Định'!$F$28*'DIA_Giả Định'!$F$40)</f>
        <v>117000000</v>
      </c>
      <c r="D30" s="127">
        <f>('DIA_Giả Định'!$G$27*'DIA_Giả Định'!$G$39+'DIA_Giả Định'!$G$28*'DIA_Giả Định'!$G$40)</f>
        <v>189000000</v>
      </c>
      <c r="E30" s="127">
        <f>'DIA_Giả Định'!$H$27*'DIA_Giả Định'!$H$39+'DIA_Giả Định'!$H$28*'DIA_Giả Định'!$H$40</f>
        <v>110000000</v>
      </c>
      <c r="F30" s="127">
        <f>('DIA_Giả Định'!$I$27*'DIA_Giả Định'!$I$39+'DIA_Giả Định'!$I$28*'DIA_Giả Định'!$I$40)</f>
        <v>190000000</v>
      </c>
      <c r="G30" s="127">
        <f>('DIA_Giả Định'!$J$27*'DIA_Giả Định'!$J$39+'DIA_Giả Định'!$J$28*'DIA_Giả Định'!$J$40)</f>
        <v>350000000</v>
      </c>
      <c r="H30" s="127">
        <f>'DIA_Giả Định'!$K$27*'DIA_Giả Định'!$K$39+'DIA_Giả Định'!$K$28*'DIA_Giả Định'!$K$40</f>
        <v>187000000</v>
      </c>
      <c r="I30" s="127">
        <f>('DIA_Giả Định'!$L$27*'DIA_Giả Định'!$L$39+'DIA_Giả Định'!$L$28*'DIA_Giả Định'!$L$40)</f>
        <v>319000000</v>
      </c>
      <c r="J30" s="127">
        <f>('DIA_Giả Định'!$M$27*'DIA_Giả Định'!$M$39+'DIA_Giả Định'!$M$28*'DIA_Giả Định'!$M$40)</f>
        <v>539000000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7.25" customHeight="1" x14ac:dyDescent="0.3">
      <c r="A31" s="126" t="s">
        <v>546</v>
      </c>
      <c r="B31" s="127">
        <f>('DIA_Giả Định'!$E$29*'DIA_Giả Định'!$E$41+'DIA_Giả Định'!$E$29*'DIA_Giả Định'!$E$43*'DIA_Giả Định'!$E$42)</f>
        <v>15300000</v>
      </c>
      <c r="C31" s="127">
        <f>('DIA_Giả Định'!$F$29*'DIA_Giả Định'!$F$41+'DIA_Giả Định'!$F$29*'DIA_Giả Định'!$F$43*'DIA_Giả Định'!$F$42)</f>
        <v>40500000</v>
      </c>
      <c r="D31" s="127">
        <f>('DIA_Giả Định'!$G$29*'DIA_Giả Định'!$G$41+'DIA_Giả Định'!$G$29*'DIA_Giả Định'!$G$43*'DIA_Giả Định'!$G$42)</f>
        <v>77625000</v>
      </c>
      <c r="E31" s="127">
        <f>('DIA_Giả Định'!$H$29*'DIA_Giả Định'!$H$41+'DIA_Giả Định'!$H$29*'DIA_Giả Định'!$H$43*'DIA_Giả Định'!$H$42)</f>
        <v>35000000</v>
      </c>
      <c r="F31" s="127">
        <f>('DIA_Giả Định'!$I$29*'DIA_Giả Định'!$I$41+'DIA_Giả Định'!$I$29*'DIA_Giả Định'!$I$43*'DIA_Giả Định'!$I$42)</f>
        <v>74750000</v>
      </c>
      <c r="G31" s="127">
        <f>('DIA_Giả Định'!$J$29*'DIA_Giả Định'!$J$41+'DIA_Giả Định'!$J$29*'DIA_Giả Định'!$J$43*'DIA_Giả Định'!$J$42)</f>
        <v>162500000</v>
      </c>
      <c r="H31" s="127">
        <f>('DIA_Giả Định'!$K$29*'DIA_Giả Định'!$K$41+'DIA_Giả Định'!$K$29*'DIA_Giả Định'!$K$43*'DIA_Giả Định'!$K$42)</f>
        <v>73700000</v>
      </c>
      <c r="I31" s="127">
        <f>('DIA_Giả Định'!$L$29*'DIA_Giả Định'!$L$41+'DIA_Giả Định'!$L$29*'DIA_Giả Định'!$L$43*'DIA_Giả Định'!$L$42)</f>
        <v>161500000</v>
      </c>
      <c r="J31" s="127">
        <f>('DIA_Giả Định'!$M$29*'DIA_Giả Định'!$M$41+'DIA_Giả Định'!$M$29*'DIA_Giả Định'!$M$43*'DIA_Giả Định'!$M$42)</f>
        <v>360500000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32.25" customHeight="1" x14ac:dyDescent="0.3">
      <c r="A32" s="126" t="s">
        <v>547</v>
      </c>
      <c r="B32" s="127">
        <f t="shared" ref="B32:J32" si="0">SUM(B28:B31)</f>
        <v>289926000</v>
      </c>
      <c r="C32" s="127">
        <f t="shared" si="0"/>
        <v>804690691.64830446</v>
      </c>
      <c r="D32" s="127">
        <f t="shared" si="0"/>
        <v>2280263745.6293449</v>
      </c>
      <c r="E32" s="127">
        <f t="shared" si="0"/>
        <v>1721079999.9999998</v>
      </c>
      <c r="F32" s="127">
        <f t="shared" si="0"/>
        <v>5989140354.000001</v>
      </c>
      <c r="G32" s="127">
        <f t="shared" si="0"/>
        <v>3026138759.0008006</v>
      </c>
      <c r="H32" s="127">
        <f t="shared" si="0"/>
        <v>1718759000</v>
      </c>
      <c r="I32" s="127">
        <f t="shared" si="0"/>
        <v>3238199426</v>
      </c>
      <c r="J32" s="127">
        <f t="shared" si="0"/>
        <v>5966410969.5523024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32.25" customHeight="1" x14ac:dyDescent="0.3">
      <c r="A33" s="126" t="s">
        <v>548</v>
      </c>
      <c r="B33" s="127">
        <f>'DIA_Giả Định'!$E$35*40%*'DIA_Giả Định'!$E$13</f>
        <v>69600000</v>
      </c>
      <c r="C33" s="127">
        <f>'DIA_Giả Định'!$F$35*40%*'DIA_Giả Định'!$F$13</f>
        <v>153774240</v>
      </c>
      <c r="D33" s="127">
        <f>'DIA_Giả Định'!$G$35*40%*'DIA_Giả Định'!$G$13</f>
        <v>240272250</v>
      </c>
      <c r="E33" s="127">
        <f>'DIA_Giả Định'!$H$35*40%*'DIA_Giả Định'!$H$13</f>
        <v>382200000</v>
      </c>
      <c r="F33" s="127">
        <f>'DIA_Giả Định'!$I$35*40%*'DIA_Giả Định'!$I$13</f>
        <v>1473448860.0000002</v>
      </c>
      <c r="G33" s="127">
        <f>'DIA_Giả Định'!$J$35*40%*'DIA_Giả Định'!$J$13</f>
        <v>732949471.25400007</v>
      </c>
      <c r="H33" s="127">
        <f>'DIA_Giả Định'!$K$35*40%*'DIA_Giả Định'!$K$13</f>
        <v>392000000</v>
      </c>
      <c r="I33" s="127">
        <f>'DIA_Giả Định'!$L$35*40%*'DIA_Giả Định'!$L$13</f>
        <v>757824200.00000012</v>
      </c>
      <c r="J33" s="127">
        <f>'DIA_Giả Định'!$M$35*40%*'DIA_Giả Định'!$M$13</f>
        <v>1435145817.8400002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32.25" customHeight="1" x14ac:dyDescent="0.3">
      <c r="A34" s="126" t="s">
        <v>549</v>
      </c>
      <c r="B34" s="127">
        <f>SUM('DIA_Giả Định'!E75:E88)*12</f>
        <v>1767750000</v>
      </c>
      <c r="C34" s="127">
        <f>SUM('DIA_Giả Định'!F75:F88)*12</f>
        <v>2403750000</v>
      </c>
      <c r="D34" s="127">
        <f>SUM('DIA_Giả Định'!G75:G88)*12</f>
        <v>3123750000</v>
      </c>
      <c r="E34" s="127">
        <f>SUM('DIA_Giả Định'!H75:H88)*12</f>
        <v>2241750000</v>
      </c>
      <c r="F34" s="127">
        <f>SUM('DIA_Giả Định'!I75:I88)*12</f>
        <v>2979750000</v>
      </c>
      <c r="G34" s="127">
        <f>SUM('DIA_Giả Định'!J75:J88)*12</f>
        <v>3609750000</v>
      </c>
      <c r="H34" s="127">
        <f>SUM('DIA_Giả Định'!K75:K88)*12</f>
        <v>3117750000</v>
      </c>
      <c r="I34" s="127">
        <f>SUM('DIA_Giả Định'!L75:L88)*12</f>
        <v>4251750000</v>
      </c>
      <c r="J34" s="127">
        <f>SUM('DIA_Giả Định'!M75:M88)*12</f>
        <v>5427750000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32.25" customHeight="1" x14ac:dyDescent="0.3">
      <c r="A35" s="126" t="s">
        <v>550</v>
      </c>
      <c r="B35" s="127">
        <f t="shared" ref="B35:J35" si="1">B32-B33-B34</f>
        <v>-1547424000</v>
      </c>
      <c r="C35" s="127">
        <f t="shared" si="1"/>
        <v>-1752833548.3516955</v>
      </c>
      <c r="D35" s="127">
        <f t="shared" si="1"/>
        <v>-1083758504.3706551</v>
      </c>
      <c r="E35" s="127">
        <f t="shared" si="1"/>
        <v>-902870000.00000024</v>
      </c>
      <c r="F35" s="127">
        <f t="shared" si="1"/>
        <v>1535941494.000001</v>
      </c>
      <c r="G35" s="127">
        <f t="shared" si="1"/>
        <v>-1316560712.2531996</v>
      </c>
      <c r="H35" s="127">
        <f t="shared" si="1"/>
        <v>-1790991000</v>
      </c>
      <c r="I35" s="127">
        <f t="shared" si="1"/>
        <v>-1771374774</v>
      </c>
      <c r="J35" s="127">
        <f t="shared" si="1"/>
        <v>-896484848.28769779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7.25" customHeight="1" x14ac:dyDescent="0.3">
      <c r="A36" s="126" t="s">
        <v>551</v>
      </c>
      <c r="B36" s="127">
        <f>((('DIA_Giả Định'!$E$92*'DIA_Giả Định'!$E$93)+('DIA_Giả Định'!$E$94*'DIA_Giả Định'!$E$95)+('DIA_Giả Định'!$E$104*'DIA_Giả Định'!$E$105)+('DIA_Giả Định'!$E$96*'DIA_Giả Định'!$E$97)+('DIA_Giả Định'!$E$98*'DIA_Giả Định'!$E$99)+('DIA_Giả Định'!$E$100*'DIA_Giả Định'!$E$101))/'DIA_Giả Định'!$E$64+(('DIA_Giả Định'!$E$114*'DIA_Giả Định'!$E$115)+('DIA_Giả Định'!$E$116*'DIA_Giả Định'!$E$117))/'DIA_Giả Định'!$E$65)</f>
        <v>366266666.66666669</v>
      </c>
      <c r="C36" s="127">
        <f>((('DIA_Giả Định'!$E$92*'DIA_Giả Định'!$E$93)+('DIA_Giả Định'!$E$94*'DIA_Giả Định'!$E$95)+('DIA_Giả Định'!$E$104*'DIA_Giả Định'!$E$105)+('DIA_Giả Định'!$E$96*'DIA_Giả Định'!$E$97)+('DIA_Giả Định'!$E$98*'DIA_Giả Định'!$E$99)+('DIA_Giả Định'!$E$100*'DIA_Giả Định'!$E$101))/'DIA_Giả Định'!$E$64+(('DIA_Giả Định'!$E$114*'DIA_Giả Định'!$E$115)+('DIA_Giả Định'!$E$116*'DIA_Giả Định'!$E$117))/'DIA_Giả Định'!$E$65)</f>
        <v>366266666.66666669</v>
      </c>
      <c r="D36" s="127">
        <f>((('DIA_Giả Định'!$E$92*'DIA_Giả Định'!$E$93)+('DIA_Giả Định'!$E$94*'DIA_Giả Định'!$E$95)+('DIA_Giả Định'!$E$104*'DIA_Giả Định'!$E$105)+('DIA_Giả Định'!$E$96*'DIA_Giả Định'!$E$97)+('DIA_Giả Định'!$E$98*'DIA_Giả Định'!$E$99)+('DIA_Giả Định'!$E$100*'DIA_Giả Định'!$E$101))/'DIA_Giả Định'!$E$64+(('DIA_Giả Định'!$E$114*'DIA_Giả Định'!$E$115)+('DIA_Giả Định'!$E$116*'DIA_Giả Định'!$E$117))/'DIA_Giả Định'!$E$65)</f>
        <v>366266666.66666669</v>
      </c>
      <c r="E36" s="127">
        <f>((('DIA_Giả Định'!$H$92*'DIA_Giả Định'!$H$93)+('DIA_Giả Định'!$H$94*'DIA_Giả Định'!$H$95)+('DIA_Giả Định'!$H$104*'DIA_Giả Định'!$H$105)+('DIA_Giả Định'!$H$96*'DIA_Giả Định'!$H$97)+('DIA_Giả Định'!$H$98*'DIA_Giả Định'!$H$99)+('DIA_Giả Định'!$H$100*'DIA_Giả Định'!$H$101))/'DIA_Giả Định'!$H$64+(('DIA_Giả Định'!$H$114*'DIA_Giả Định'!$H$115)+('DIA_Giả Định'!$H$116*'DIA_Giả Định'!$H$117))/'DIA_Giả Định'!$H$65)</f>
        <v>389550000</v>
      </c>
      <c r="F36" s="127">
        <f>((('DIA_Giả Định'!$H$92*'DIA_Giả Định'!$H$93)+('DIA_Giả Định'!$H$94*'DIA_Giả Định'!$H$95)+('DIA_Giả Định'!$H$104*'DIA_Giả Định'!$H$105)+('DIA_Giả Định'!$H$96*'DIA_Giả Định'!$H$97)+('DIA_Giả Định'!$H$98*'DIA_Giả Định'!$H$99)+('DIA_Giả Định'!$H$100*'DIA_Giả Định'!$H$101))/'DIA_Giả Định'!$H$64+(('DIA_Giả Định'!$H$114*'DIA_Giả Định'!$H$115)+('DIA_Giả Định'!$H$116*'DIA_Giả Định'!$H$117))/'DIA_Giả Định'!$H$65)</f>
        <v>389550000</v>
      </c>
      <c r="G36" s="127">
        <f>((('DIA_Giả Định'!$H$92*'DIA_Giả Định'!$H$93)+('DIA_Giả Định'!$H$94*'DIA_Giả Định'!$H$95)+('DIA_Giả Định'!$H$104*'DIA_Giả Định'!$H$105)+('DIA_Giả Định'!$H$96*'DIA_Giả Định'!$H$97)+('DIA_Giả Định'!$H$98*'DIA_Giả Định'!$H$99)+('DIA_Giả Định'!$H$100*'DIA_Giả Định'!$H$101))/'DIA_Giả Định'!$H$64+(('DIA_Giả Định'!$H$114*'DIA_Giả Định'!$H$115)+('DIA_Giả Định'!$H$116*'DIA_Giả Định'!$H$117))/'DIA_Giả Định'!$H$65)</f>
        <v>389550000</v>
      </c>
      <c r="H36" s="127">
        <f>((('DIA_Giả Định'!$K$92*'DIA_Giả Định'!$K$93)+('DIA_Giả Định'!$K$94*'DIA_Giả Định'!$K$95)+('DIA_Giả Định'!$K$104*'DIA_Giả Định'!$K$105)+('DIA_Giả Định'!$K$96*'DIA_Giả Định'!$K$97)+('DIA_Giả Định'!$K$98*'DIA_Giả Định'!$K$99)+('DIA_Giả Định'!$K$100*'DIA_Giả Định'!$K$101))/'DIA_Giả Định'!$K$64+(('DIA_Giả Định'!$K$114*'DIA_Giả Định'!$K$115)+('DIA_Giả Định'!$K$116*'DIA_Giả Định'!$K$117))/'DIA_Giả Định'!$K$65)</f>
        <v>422650000</v>
      </c>
      <c r="I36" s="127">
        <f>((('DIA_Giả Định'!$K$92*'DIA_Giả Định'!$K$93)+('DIA_Giả Định'!$K$94*'DIA_Giả Định'!$K$95)+('DIA_Giả Định'!$K$104*'DIA_Giả Định'!$K$105)+('DIA_Giả Định'!$K$96*'DIA_Giả Định'!$K$97)+('DIA_Giả Định'!$K$98*'DIA_Giả Định'!$K$99)+('DIA_Giả Định'!$K$100*'DIA_Giả Định'!$K$101))/'DIA_Giả Định'!$K$64+(('DIA_Giả Định'!$K$114*'DIA_Giả Định'!$K$115)+('DIA_Giả Định'!$K$116*'DIA_Giả Định'!$K$117))/'DIA_Giả Định'!$K$65)</f>
        <v>422650000</v>
      </c>
      <c r="J36" s="127">
        <f>((('DIA_Giả Định'!$K$92*'DIA_Giả Định'!$K$93)+('DIA_Giả Định'!$K$94*'DIA_Giả Định'!$K$95)+('DIA_Giả Định'!$K$104*'DIA_Giả Định'!$K$105)+('DIA_Giả Định'!$K$96*'DIA_Giả Định'!$K$97)+('DIA_Giả Định'!$K$98*'DIA_Giả Định'!$K$99)+('DIA_Giả Định'!$K$100*'DIA_Giả Định'!$K$101))/'DIA_Giả Định'!$K$64+(('DIA_Giả Định'!$K$114*'DIA_Giả Định'!$K$115)+('DIA_Giả Định'!$K$116*'DIA_Giả Định'!$K$117))/'DIA_Giả Định'!$K$65)</f>
        <v>422650000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32.25" customHeight="1" x14ac:dyDescent="0.3">
      <c r="A37" s="126" t="s">
        <v>552</v>
      </c>
      <c r="B37" s="127">
        <f t="shared" ref="B37:J37" si="2">B35-B36</f>
        <v>-1913690666.6666667</v>
      </c>
      <c r="C37" s="127">
        <f t="shared" si="2"/>
        <v>-2119100215.0183623</v>
      </c>
      <c r="D37" s="127">
        <f t="shared" si="2"/>
        <v>-1450025171.0373218</v>
      </c>
      <c r="E37" s="127">
        <f t="shared" si="2"/>
        <v>-1292420000.0000002</v>
      </c>
      <c r="F37" s="127">
        <f t="shared" si="2"/>
        <v>1146391494.000001</v>
      </c>
      <c r="G37" s="127">
        <f t="shared" si="2"/>
        <v>-1706110712.2531996</v>
      </c>
      <c r="H37" s="127">
        <f t="shared" si="2"/>
        <v>-2213641000</v>
      </c>
      <c r="I37" s="127">
        <f t="shared" si="2"/>
        <v>-2194024774</v>
      </c>
      <c r="J37" s="127">
        <f t="shared" si="2"/>
        <v>-1319134848.2876978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7.25" customHeight="1" x14ac:dyDescent="0.3">
      <c r="A38" s="126" t="s">
        <v>553</v>
      </c>
      <c r="B38" s="127">
        <f>MAX(0,B37*'DIA_Giả Định'!$E$59)</f>
        <v>0</v>
      </c>
      <c r="C38" s="127">
        <f>MAX(0,C37*'DIA_Giả Định'!$F$59)</f>
        <v>0</v>
      </c>
      <c r="D38" s="127">
        <f>MAX(0,D37*'DIA_Giả Định'!$G$59)</f>
        <v>0</v>
      </c>
      <c r="E38" s="127">
        <f>MAX(0,E37*'DIA_Giả Định'!$H$59)</f>
        <v>0</v>
      </c>
      <c r="F38" s="127">
        <f>MAX(0,F37*'DIA_Giả Định'!$I$59)</f>
        <v>229278298.80000019</v>
      </c>
      <c r="G38" s="127">
        <f>MAX(0,G37*'DIA_Giả Định'!$J$59)</f>
        <v>0</v>
      </c>
      <c r="H38" s="127">
        <f>MAX(0,H37*'DIA_Giả Định'!$K$59)</f>
        <v>0</v>
      </c>
      <c r="I38" s="127">
        <f>MAX(0,I37*'DIA_Giả Định'!$L$59)</f>
        <v>0</v>
      </c>
      <c r="J38" s="127">
        <f>MAX(0,J37*'DIA_Giả Định'!$M$59)</f>
        <v>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32.25" customHeight="1" x14ac:dyDescent="0.3">
      <c r="A39" s="126" t="s">
        <v>554</v>
      </c>
      <c r="B39" s="127">
        <f t="shared" ref="B39:J39" si="3">B37-B38</f>
        <v>-1913690666.6666667</v>
      </c>
      <c r="C39" s="127">
        <f t="shared" si="3"/>
        <v>-2119100215.0183623</v>
      </c>
      <c r="D39" s="127">
        <f t="shared" si="3"/>
        <v>-1450025171.0373218</v>
      </c>
      <c r="E39" s="127">
        <f t="shared" si="3"/>
        <v>-1292420000.0000002</v>
      </c>
      <c r="F39" s="127">
        <f t="shared" si="3"/>
        <v>917113195.20000076</v>
      </c>
      <c r="G39" s="127">
        <f t="shared" si="3"/>
        <v>-1706110712.2531996</v>
      </c>
      <c r="H39" s="127">
        <f t="shared" si="3"/>
        <v>-2213641000</v>
      </c>
      <c r="I39" s="127">
        <f t="shared" si="3"/>
        <v>-2194024774</v>
      </c>
      <c r="J39" s="127">
        <f t="shared" si="3"/>
        <v>-1319134848.2876978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7.25" customHeight="1" x14ac:dyDescent="0.3">
      <c r="A40" s="126" t="s">
        <v>278</v>
      </c>
      <c r="B40" s="127">
        <f>-'DIA_Giả Định'!$E$73</f>
        <v>0</v>
      </c>
      <c r="C40" s="127">
        <f>-'DIA_Giả Định'!$F$73</f>
        <v>-50000000</v>
      </c>
      <c r="D40" s="127">
        <f>-'DIA_Giả Định'!$G$73</f>
        <v>-80000000</v>
      </c>
      <c r="E40" s="127">
        <f>-'DIA_Giả Định'!$H$73</f>
        <v>0</v>
      </c>
      <c r="F40" s="127">
        <f>-'DIA_Giả Định'!$I$73</f>
        <v>-100000000</v>
      </c>
      <c r="G40" s="127">
        <f>-'DIA_Giả Định'!$J$73</f>
        <v>-150000000</v>
      </c>
      <c r="H40" s="127">
        <f>-'DIA_Giả Định'!$K$73</f>
        <v>0</v>
      </c>
      <c r="I40" s="127">
        <f>-'DIA_Giả Định'!$L$73</f>
        <v>-200000000</v>
      </c>
      <c r="J40" s="127">
        <f>-'DIA_Giả Định'!$M$73</f>
        <v>-300000000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32.25" customHeight="1" x14ac:dyDescent="0.3">
      <c r="A41" s="126" t="s">
        <v>555</v>
      </c>
      <c r="B41" s="127">
        <f>-MAX(0,(B34/'DIA_Giả Định'!$E$5*'DIA_Giả Định'!$E$67)-('DIA_Giả Định'!$E$124*'DIA_Giả Định'!$E$125))</f>
        <v>-39625000</v>
      </c>
      <c r="C41" s="127">
        <f>-MAX(0,(C34/'DIA_Giả Định'!$F$5*'DIA_Giả Định'!$F$67)-(B34/'DIA_Giả Định'!$E$5*'DIA_Giả Định'!$E$67))</f>
        <v>-106000000</v>
      </c>
      <c r="D41" s="127">
        <f>-MAX(0,(D34/'DIA_Giả Định'!$G$5*'DIA_Giả Định'!$G$67)-(C34/'DIA_Giả Định'!$F$5*'DIA_Giả Định'!$F$67))</f>
        <v>-120000000</v>
      </c>
      <c r="E41" s="127">
        <f>-MAX(0,(E34/'DIA_Giả Định'!$H$5*'DIA_Giả Định'!$H$67)-('DIA_Giả Định'!$H$124*'DIA_Giả Định'!$H$125))</f>
        <v>-73625000</v>
      </c>
      <c r="F41" s="127">
        <f>-MAX(0,(F34/'DIA_Giả Định'!$I$5*'DIA_Giả Định'!$I$67)-(E34/'DIA_Giả Định'!$H$5*'DIA_Giả Định'!$H$67))</f>
        <v>-123000000</v>
      </c>
      <c r="G41" s="127">
        <f>-MAX(0,(G34/'DIA_Giả Định'!$J$5*'DIA_Giả Định'!$J$67)-(F34/'DIA_Giả Định'!$I$5*'DIA_Giả Định'!$I$67))</f>
        <v>-105000000</v>
      </c>
      <c r="H41" s="127">
        <f>-MAX(0,(H34/'DIA_Giả Định'!$K$5*'DIA_Giả Định'!$K$67)-('DIA_Giả Định'!$K$124*'DIA_Giả Định'!$K$125))</f>
        <v>-159625000</v>
      </c>
      <c r="I41" s="127">
        <f>-MAX(0,(I34/'DIA_Giả Định'!$L$5*'DIA_Giả Định'!$L$67)-(H34/'DIA_Giả Định'!$K$5*'DIA_Giả Định'!$K$67))</f>
        <v>-189000000</v>
      </c>
      <c r="J41" s="127">
        <f>-MAX(0,(J34/'DIA_Giả Định'!$M$5*'DIA_Giả Định'!$M$67)-(I34/'DIA_Giả Định'!$L$5*'DIA_Giả Định'!$L$67))</f>
        <v>-196000000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32.25" customHeight="1" x14ac:dyDescent="0.3">
      <c r="A42" s="126" t="s">
        <v>556</v>
      </c>
      <c r="B42" s="127">
        <f>B37*(1-'DIA_Giả Định'!$E$59)+B36+B40+B41</f>
        <v>-1204310866.6666667</v>
      </c>
      <c r="C42" s="127">
        <f>C37*(1-'DIA_Giả Định'!$F$59)+C36+C40+C41</f>
        <v>-1485013505.3480232</v>
      </c>
      <c r="D42" s="127">
        <f>D37*(1-'DIA_Giả Định'!$G$59)+D36+D40+D41</f>
        <v>-993753470.16319084</v>
      </c>
      <c r="E42" s="127">
        <f>E37*(1-'DIA_Giả Định'!$H$59)+E36+E40+E41</f>
        <v>-718011000.00000024</v>
      </c>
      <c r="F42" s="127">
        <f>F37*(1-'DIA_Giả Định'!$I$59)+F36+F40+F41</f>
        <v>1083663195.2000008</v>
      </c>
      <c r="G42" s="127">
        <f>G37*(1-'DIA_Giả Định'!$J$59)+G36+G40+G41</f>
        <v>-1230338569.8025599</v>
      </c>
      <c r="H42" s="127">
        <f>H37*(1-'DIA_Giả Định'!$K$59)+H36+H40+H41</f>
        <v>-1507887800</v>
      </c>
      <c r="I42" s="127">
        <f>I37*(1-'DIA_Giả Định'!$L$59)+I36+I40+I41</f>
        <v>-1721569819.2</v>
      </c>
      <c r="J42" s="127">
        <f>J37*(1-'DIA_Giả Định'!$M$59)+J36+J40+J41</f>
        <v>-1128657878.6301584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32.25" customHeight="1" x14ac:dyDescent="0.3">
      <c r="A43" s="126" t="s">
        <v>557</v>
      </c>
      <c r="B43" s="127">
        <f>B42/POWER(1+'DIA_Giả Định'!$E$60,1)</f>
        <v>-1003592388.888889</v>
      </c>
      <c r="C43" s="127">
        <f>C42/POWER(1+'DIA_Giả Định'!$E$60,2)</f>
        <v>-1031259378.713905</v>
      </c>
      <c r="D43" s="127">
        <f>D42/POWER(1+'DIA_Giả Định'!$E$60,3)</f>
        <v>-575088813.75184655</v>
      </c>
      <c r="E43" s="127">
        <f>E42/POWER(1+'DIA_Giả Định'!$H$60,1)</f>
        <v>-608483898.30508494</v>
      </c>
      <c r="F43" s="127">
        <f>F42/POWER(1+'DIA_Giả Định'!$H$60,2)</f>
        <v>778270033.89830565</v>
      </c>
      <c r="G43" s="127">
        <f>G42/POWER(1+'DIA_Giả Định'!$H$60,3)</f>
        <v>-748822037.42992222</v>
      </c>
      <c r="H43" s="127">
        <f>H42/POWER(1+'DIA_Giả Định'!$K$60,1)</f>
        <v>-1311206782.6086957</v>
      </c>
      <c r="I43" s="127">
        <f>I42/POWER(1+'DIA_Giả Định'!$K$60,2)</f>
        <v>-1301754116.5973537</v>
      </c>
      <c r="J43" s="127">
        <f>J42/POWER(1+'DIA_Giả Định'!$K$60,3)</f>
        <v>-742110876.06158221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32.25" customHeight="1" x14ac:dyDescent="0.3">
      <c r="A44" s="126" t="s">
        <v>558</v>
      </c>
      <c r="B44" s="127">
        <f>-B22+B42</f>
        <v>-1888910866.6666667</v>
      </c>
      <c r="C44" s="127">
        <f>B44+C42</f>
        <v>-3373924372.0146899</v>
      </c>
      <c r="D44" s="127">
        <f>C44+D42</f>
        <v>-4367677842.1778812</v>
      </c>
      <c r="E44" s="127">
        <f>-E22+E42</f>
        <v>-1598411000.0000002</v>
      </c>
      <c r="F44" s="127">
        <f>E44+F42</f>
        <v>-514747804.79999948</v>
      </c>
      <c r="G44" s="127">
        <f>F44+G42</f>
        <v>-1745086374.6025593</v>
      </c>
      <c r="H44" s="127">
        <f>-H22+H42</f>
        <v>-2593937800</v>
      </c>
      <c r="I44" s="127">
        <f>H44+I42</f>
        <v>-4315507619.1999998</v>
      </c>
      <c r="J44" s="127">
        <f>I44+J42</f>
        <v>-5444165497.8301582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32.25" customHeight="1" x14ac:dyDescent="0.3">
      <c r="A45" s="126" t="s">
        <v>559</v>
      </c>
      <c r="B45" s="127">
        <f>-B22+B43</f>
        <v>-1688192388.8888888</v>
      </c>
      <c r="C45" s="127">
        <f>B45+C43</f>
        <v>-2719451767.6027937</v>
      </c>
      <c r="D45" s="127">
        <f>C45+D43</f>
        <v>-3294540581.35464</v>
      </c>
      <c r="E45" s="127">
        <f>-E22+E43</f>
        <v>-1488883898.3050849</v>
      </c>
      <c r="F45" s="127">
        <f>E45+F43</f>
        <v>-710613864.40677929</v>
      </c>
      <c r="G45" s="127">
        <f>F45+G43</f>
        <v>-1459435901.8367014</v>
      </c>
      <c r="H45" s="127">
        <f>-H22+H43</f>
        <v>-2397256782.608696</v>
      </c>
      <c r="I45" s="127">
        <f>H45+I43</f>
        <v>-3699010899.2060499</v>
      </c>
      <c r="J45" s="127">
        <f>I45+J43</f>
        <v>-4441121775.2676325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32.25" customHeight="1" x14ac:dyDescent="0.3">
      <c r="A46" s="126" t="s">
        <v>530</v>
      </c>
      <c r="B46" s="127">
        <f>SUM(B43:D43)-B22</f>
        <v>-3294540581.3546405</v>
      </c>
      <c r="C46" s="127"/>
      <c r="D46" s="127"/>
      <c r="E46" s="127">
        <f>SUM(E43:G43)-E22</f>
        <v>-1459435901.8367014</v>
      </c>
      <c r="F46" s="127"/>
      <c r="G46" s="127"/>
      <c r="H46" s="127">
        <f>SUM(H43:J43)-H22</f>
        <v>-4441121775.2676315</v>
      </c>
      <c r="I46" s="127"/>
      <c r="J46" s="127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7.25" customHeight="1" x14ac:dyDescent="0.3">
      <c r="A47" s="126" t="s">
        <v>531</v>
      </c>
      <c r="B47" s="130">
        <f>IF(D44&lt;0,0,IFERROR(IRR(A51:D51),0))</f>
        <v>0</v>
      </c>
      <c r="C47" s="126"/>
      <c r="D47" s="126"/>
      <c r="E47" s="130">
        <f>IF(G44&lt;0,0,IFERROR(IRR(L51:O51),0))</f>
        <v>0</v>
      </c>
      <c r="F47" s="126"/>
      <c r="G47" s="126"/>
      <c r="H47" s="130">
        <f>IF(J44&lt;0,0,IFERROR(IRR(Q51:T51),0))</f>
        <v>0</v>
      </c>
      <c r="I47" s="126"/>
      <c r="J47" s="126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7.25" customHeight="1" x14ac:dyDescent="0.3">
      <c r="A48" s="126" t="s">
        <v>532</v>
      </c>
      <c r="B48" s="126" t="str">
        <f>IF(D44&lt;0,"&gt;3 năm",IF(B44&gt;=0,IFERROR(B22/B42,0),IF(C44&gt;=0,1+IFERROR(ABS(B44)/C42,0),2+IFERROR(ABS(C44)/D42,0))))</f>
        <v>&gt;3 năm</v>
      </c>
      <c r="C48" s="126"/>
      <c r="D48" s="126"/>
      <c r="E48" s="126" t="str">
        <f>IF(G44&lt;0,"&gt;3 năm",IF(E44&gt;=0,IFERROR(E22/E42,0),IF(F44&gt;=0,1+IFERROR(ABS(E44)/F42,0),2+IFERROR(ABS(F44)/G42,0))))</f>
        <v>&gt;3 năm</v>
      </c>
      <c r="F48" s="126"/>
      <c r="G48" s="126"/>
      <c r="H48" s="126" t="str">
        <f>IF(J44&lt;0,"&gt;3 năm",IF(H44&gt;=0,IFERROR(H22/H42,0),IF(I44&gt;=0,1+IFERROR(ABS(H44)/I42,0),2+IFERROR(ABS(I44)/J42,0))))</f>
        <v>&gt;3 năm</v>
      </c>
      <c r="I48" s="126"/>
      <c r="J48" s="126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7.25" customHeight="1" x14ac:dyDescent="0.3">
      <c r="A49" s="126" t="s">
        <v>533</v>
      </c>
      <c r="B49" s="127">
        <f>MAX(0,-MIN(-B22,B44:D44))</f>
        <v>4367677842.1778812</v>
      </c>
      <c r="C49" s="127"/>
      <c r="D49" s="127"/>
      <c r="E49" s="127">
        <f>MAX(0,-MIN(-E22,E44:G44))</f>
        <v>1745086374.6025593</v>
      </c>
      <c r="F49" s="127"/>
      <c r="G49" s="127"/>
      <c r="H49" s="127">
        <f>MAX(0,-MIN(-H22,H44:J44))</f>
        <v>5444165497.8301582</v>
      </c>
      <c r="I49" s="127"/>
      <c r="J49" s="127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1"/>
      <c r="C50" s="1"/>
      <c r="D50" s="1"/>
      <c r="E50" s="1"/>
      <c r="F50" s="1"/>
      <c r="H50" s="1"/>
      <c r="I50" s="1"/>
      <c r="J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.5" customHeight="1" x14ac:dyDescent="0.3">
      <c r="A51" s="131">
        <f>-B22</f>
        <v>-684600000</v>
      </c>
      <c r="B51" s="131">
        <f t="shared" ref="B51:J51" si="4">B42</f>
        <v>-1204310866.6666667</v>
      </c>
      <c r="C51" s="131">
        <f t="shared" si="4"/>
        <v>-1485013505.3480232</v>
      </c>
      <c r="D51" s="131">
        <f t="shared" si="4"/>
        <v>-993753470.16319084</v>
      </c>
      <c r="E51" s="131">
        <f t="shared" si="4"/>
        <v>-718011000.00000024</v>
      </c>
      <c r="F51" s="131">
        <f t="shared" si="4"/>
        <v>1083663195.2000008</v>
      </c>
      <c r="G51" s="131">
        <f t="shared" si="4"/>
        <v>-1230338569.8025599</v>
      </c>
      <c r="H51" s="131">
        <f t="shared" si="4"/>
        <v>-1507887800</v>
      </c>
      <c r="I51" s="131">
        <f t="shared" si="4"/>
        <v>-1721569819.2</v>
      </c>
      <c r="J51" s="131">
        <f t="shared" si="4"/>
        <v>-1128657878.6301584</v>
      </c>
      <c r="L51">
        <f>-E22</f>
        <v>-880400000</v>
      </c>
      <c r="M51" s="132">
        <f>E42</f>
        <v>-718011000.00000024</v>
      </c>
      <c r="N51" s="132">
        <f>F42</f>
        <v>1083663195.2000008</v>
      </c>
      <c r="O51" s="132">
        <f>G42</f>
        <v>-1230338569.8025599</v>
      </c>
      <c r="P51" s="1"/>
      <c r="Q51" s="1">
        <f>-H22</f>
        <v>-1086050000</v>
      </c>
      <c r="R51" s="132">
        <f>H42</f>
        <v>-1507887800</v>
      </c>
      <c r="S51" s="132">
        <f>I42</f>
        <v>-1721569819.2</v>
      </c>
      <c r="T51" s="132">
        <f>J42</f>
        <v>-1128657878.6301584</v>
      </c>
      <c r="U51" s="1"/>
      <c r="V51" s="1"/>
      <c r="W51" s="1"/>
      <c r="X51" s="1"/>
    </row>
    <row r="52" spans="1:24" ht="13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1"/>
      <c r="C53" s="1"/>
      <c r="D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B54" s="1"/>
      <c r="C54" s="1"/>
      <c r="D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7.25" customHeight="1" x14ac:dyDescent="0.3">
      <c r="A57" s="222" t="s">
        <v>560</v>
      </c>
      <c r="B57" s="222"/>
      <c r="C57" s="222"/>
      <c r="D57" s="222"/>
      <c r="E57" s="222"/>
      <c r="F57" s="222"/>
      <c r="G57" s="222"/>
      <c r="H57" s="222"/>
      <c r="I57" s="222"/>
      <c r="J57" s="222"/>
      <c r="K57" s="222"/>
      <c r="L57" s="22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7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7.25" customHeight="1" x14ac:dyDescent="0.3">
      <c r="A59" s="222" t="s">
        <v>561</v>
      </c>
      <c r="B59" s="222"/>
      <c r="C59" s="222"/>
      <c r="D59" s="222"/>
      <c r="E59" s="222"/>
      <c r="F59" s="1"/>
      <c r="G59" s="222" t="s">
        <v>562</v>
      </c>
      <c r="H59" s="222"/>
      <c r="I59" s="222"/>
      <c r="J59" s="222"/>
      <c r="K59" s="222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48" customHeight="1" x14ac:dyDescent="0.3">
      <c r="A60" s="133" t="s">
        <v>563</v>
      </c>
      <c r="B60" s="134">
        <f>'DIA_Giả Định'!$J$35*'DIA_Giả Định'!$N$145</f>
        <v>42834.709359000008</v>
      </c>
      <c r="C60" s="134">
        <f>'DIA_Giả Định'!$J$35*'DIA_Giả Định'!$N$146</f>
        <v>47594.121510000004</v>
      </c>
      <c r="D60" s="134">
        <f>'DIA_Giả Định'!$J$35*'DIA_Giả Định'!$N$147</f>
        <v>52353.533661000009</v>
      </c>
      <c r="E60" s="134">
        <f>'DIA_Giả Định'!$J$35*'DIA_Giả Định'!$N$148</f>
        <v>57112.945812000005</v>
      </c>
      <c r="F60" s="1"/>
      <c r="G60" s="133" t="s">
        <v>564</v>
      </c>
      <c r="H60" s="135">
        <f>('DIA_Giả Định'!$J$25+'DIA_Giả Định'!$J$26)*'DIA_Giả Định'!$N$145</f>
        <v>36</v>
      </c>
      <c r="I60" s="135">
        <f>('DIA_Giả Định'!$J$25+'DIA_Giả Định'!$J$26)*'DIA_Giả Định'!$N$146</f>
        <v>40</v>
      </c>
      <c r="J60" s="135">
        <f>('DIA_Giả Định'!$J$25+'DIA_Giả Định'!$J$26)*'DIA_Giả Định'!$N$147</f>
        <v>44</v>
      </c>
      <c r="K60" s="135">
        <f>('DIA_Giả Định'!$J$25+'DIA_Giả Định'!$J$26)*'DIA_Giả Định'!$N$148</f>
        <v>48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32.25" customHeight="1" x14ac:dyDescent="0.3">
      <c r="A61" s="136">
        <f>'DIA_Giả Định'!$J$35*'DIA_Giả Định'!$N$144</f>
        <v>38075.297208000004</v>
      </c>
      <c r="B61" s="127">
        <f>'DIA_Giả Định'!$J$6*B$60*('DIA_Giả Định'!$J$9*$A$61*'DIA_Giả Định'!$J$5+'DIA_Giả Định'!$J$10*$A$61*'DIA_Giả Định'!$J$5*(1-(1-'DIA_Giả Định'!$J$36/('DIA_Giả Định'!$J$35*'DIA_Giả Định'!$J$5))))</f>
        <v>1285231715013829.5</v>
      </c>
      <c r="C61" s="127">
        <f>'DIA_Giả Định'!$J$6*C$60*('DIA_Giả Định'!$J$9*$A$61*'DIA_Giả Định'!$J$5+'DIA_Giả Định'!$J$10*$A$61*'DIA_Giả Định'!$J$5*(1-(1-'DIA_Giả Định'!$J$36/('DIA_Giả Định'!$J$35*'DIA_Giả Định'!$J$5))))</f>
        <v>1428035238904255</v>
      </c>
      <c r="D61" s="127">
        <f>'DIA_Giả Định'!$J$6*D$60*('DIA_Giả Định'!$J$9*$A$61*'DIA_Giả Định'!$J$5+'DIA_Giả Định'!$J$10*$A$61*'DIA_Giả Định'!$J$5*(1-(1-'DIA_Giả Định'!$J$36/('DIA_Giả Định'!$J$35*'DIA_Giả Định'!$J$5))))</f>
        <v>1570838762794680.5</v>
      </c>
      <c r="E61" s="127">
        <f>'DIA_Giả Định'!$J$6*E$60*('DIA_Giả Định'!$J$9*$A$61*'DIA_Giả Định'!$J$5+'DIA_Giả Định'!$J$10*$A$61*'DIA_Giả Định'!$J$5*(1-(1-'DIA_Giả Định'!$J$36/('DIA_Giả Định'!$J$35*'DIA_Giả Định'!$J$5))))</f>
        <v>1713642286685105.8</v>
      </c>
      <c r="F61" s="1"/>
      <c r="G61" s="136">
        <f>(('DIA_Giả Định'!$J$25*'DIA_Giả Định'!$J$38+'DIA_Giả Định'!$J$26*'DIA_Giả Định'!$J$37)/('DIA_Giả Định'!$J$25+'DIA_Giả Định'!$J$26))*'DIA_Giả Định'!$N$144</f>
        <v>2812063.3113460005</v>
      </c>
      <c r="H61" s="127">
        <f>$G$61*H$60*'DIA_Giả Định'!$J$5</f>
        <v>1214811350.5014722</v>
      </c>
      <c r="I61" s="127">
        <f>$G$61*I$60*'DIA_Giả Định'!$J$5</f>
        <v>1349790389.4460802</v>
      </c>
      <c r="J61" s="127">
        <f>$G$61*J$60*'DIA_Giả Định'!$J$5</f>
        <v>1484769428.3906884</v>
      </c>
      <c r="K61" s="127">
        <f>$G$61*K$60*'DIA_Giả Định'!$J$5</f>
        <v>1619748467.3352964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32.25" customHeight="1" x14ac:dyDescent="0.3">
      <c r="A62" s="136">
        <f>'DIA_Giả Định'!$J$35*'DIA_Giả Định'!$N$145</f>
        <v>42834.709359000008</v>
      </c>
      <c r="B62" s="127">
        <f>'DIA_Giả Định'!$J$6*B$60*('DIA_Giả Định'!$J$9*$A$62*'DIA_Giả Định'!$J$5+'DIA_Giả Định'!$J$10*$A$62*'DIA_Giả Định'!$J$5*(1-(1-'DIA_Giả Định'!$J$36/('DIA_Giả Định'!$J$35*'DIA_Giả Định'!$J$5))))</f>
        <v>1445885679390558</v>
      </c>
      <c r="C62" s="127">
        <f>'DIA_Giả Định'!$J$6*C$60*('DIA_Giả Định'!$J$9*$A$62*'DIA_Giả Định'!$J$5+'DIA_Giả Định'!$J$10*$A$62*'DIA_Giả Định'!$J$5*(1-(1-'DIA_Giả Định'!$J$36/('DIA_Giả Định'!$J$35*'DIA_Giả Định'!$J$5))))</f>
        <v>1606539643767286.5</v>
      </c>
      <c r="D62" s="127">
        <f>'DIA_Giả Định'!$J$6*D$60*('DIA_Giả Định'!$J$9*$A$62*'DIA_Giả Định'!$J$5+'DIA_Giả Định'!$J$10*$A$62*'DIA_Giả Định'!$J$5*(1-(1-'DIA_Giả Định'!$J$36/('DIA_Giả Định'!$J$35*'DIA_Giả Định'!$J$5))))</f>
        <v>1767193608144015.3</v>
      </c>
      <c r="E62" s="127">
        <f>'DIA_Giả Định'!$J$6*E$60*('DIA_Giả Định'!$J$9*$A$62*'DIA_Giả Định'!$J$5+'DIA_Giả Định'!$J$10*$A$62*'DIA_Giả Định'!$J$5*(1-(1-'DIA_Giả Định'!$J$36/('DIA_Giả Định'!$J$35*'DIA_Giả Định'!$J$5))))</f>
        <v>1927847572520743.8</v>
      </c>
      <c r="F62" s="1"/>
      <c r="G62" s="136">
        <f>(('DIA_Giả Định'!$J$25*'DIA_Giả Định'!$J$38+'DIA_Giả Định'!$J$26*'DIA_Giả Định'!$J$37)/('DIA_Giả Định'!$J$25+'DIA_Giả Định'!$J$26))*'DIA_Giả Định'!$N$145</f>
        <v>3163571.2252642508</v>
      </c>
      <c r="H62" s="127">
        <f>$G$62*H$60*'DIA_Giả Định'!$J$5</f>
        <v>1366662769.3141563</v>
      </c>
      <c r="I62" s="127">
        <f>$G$62*I$60*'DIA_Giả Định'!$J$5</f>
        <v>1518514188.1268404</v>
      </c>
      <c r="J62" s="127">
        <f>$G$62*J$60*'DIA_Giả Định'!$J$5</f>
        <v>1670365606.9395242</v>
      </c>
      <c r="K62" s="127">
        <f>$G$62*K$60*'DIA_Giả Định'!$J$5</f>
        <v>1822217025.7522082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32.25" customHeight="1" x14ac:dyDescent="0.3">
      <c r="A63" s="136">
        <f>'DIA_Giả Định'!$J$35*'DIA_Giả Định'!$N$146</f>
        <v>47594.121510000004</v>
      </c>
      <c r="B63" s="127">
        <f>'DIA_Giả Định'!$J$6*B$60*('DIA_Giả Định'!$J$9*$A$63*'DIA_Giả Định'!$J$5+'DIA_Giả Định'!$J$10*$A$63*'DIA_Giả Định'!$J$5*(1-(1-'DIA_Giả Định'!$J$36/('DIA_Giả Định'!$J$35*'DIA_Giả Định'!$J$5))))</f>
        <v>1606539643767286.8</v>
      </c>
      <c r="C63" s="127">
        <f>'DIA_Giả Định'!$J$6*C$60*('DIA_Giả Định'!$J$9*$A$63*'DIA_Giả Định'!$J$5+'DIA_Giả Định'!$J$10*$A$63*'DIA_Giả Định'!$J$5*(1-(1-'DIA_Giả Định'!$J$36/('DIA_Giả Định'!$J$35*'DIA_Giả Định'!$J$5))))</f>
        <v>1785044048630318.3</v>
      </c>
      <c r="D63" s="127">
        <f>'DIA_Giả Định'!$J$6*D$60*('DIA_Giả Định'!$J$9*$A$63*'DIA_Giả Định'!$J$5+'DIA_Giả Định'!$J$10*$A$63*'DIA_Giả Định'!$J$5*(1-(1-'DIA_Giả Định'!$J$36/('DIA_Giả Định'!$J$35*'DIA_Giả Định'!$J$5))))</f>
        <v>1963548453493350.3</v>
      </c>
      <c r="E63" s="127">
        <f>'DIA_Giả Định'!$J$6*E$60*('DIA_Giả Định'!$J$9*$A$63*'DIA_Giả Định'!$J$5+'DIA_Giả Định'!$J$10*$A$63*'DIA_Giả Định'!$J$5*(1-(1-'DIA_Giả Định'!$J$36/('DIA_Giả Định'!$J$35*'DIA_Giả Định'!$J$5))))</f>
        <v>2142052858356381.8</v>
      </c>
      <c r="F63" s="1"/>
      <c r="G63" s="136">
        <f>(('DIA_Giả Định'!$J$25*'DIA_Giả Định'!$J$38+'DIA_Giả Định'!$J$26*'DIA_Giả Định'!$J$37)/('DIA_Giả Định'!$J$25+'DIA_Giả Định'!$J$26))*'DIA_Giả Định'!$N$146</f>
        <v>3515079.1391825005</v>
      </c>
      <c r="H63" s="127">
        <f>$G$63*H$60*'DIA_Giả Định'!$J$5</f>
        <v>1518514188.1268401</v>
      </c>
      <c r="I63" s="127">
        <f>$G$63*I$60*'DIA_Giả Định'!$J$5</f>
        <v>1687237986.8076003</v>
      </c>
      <c r="J63" s="127">
        <f>$G$63*J$60*'DIA_Giả Định'!$J$5</f>
        <v>1855961785.4883604</v>
      </c>
      <c r="K63" s="127">
        <f>$G$63*K$60*'DIA_Giả Định'!$J$5</f>
        <v>2024685584.1691203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32.25" customHeight="1" x14ac:dyDescent="0.3">
      <c r="A64" s="136">
        <f>'DIA_Giả Định'!$J$35*'DIA_Giả Định'!$N$147</f>
        <v>52353.533661000009</v>
      </c>
      <c r="B64" s="127">
        <f>'DIA_Giả Định'!$J$6*B$60*('DIA_Giả Định'!$J$9*$A$64*'DIA_Giả Định'!$J$5+'DIA_Giả Định'!$J$10*$A$64*'DIA_Giả Định'!$J$5*(1-(1-'DIA_Giả Định'!$J$36/('DIA_Giả Định'!$J$35*'DIA_Giả Định'!$J$5))))</f>
        <v>1767193608144015.5</v>
      </c>
      <c r="C64" s="127">
        <f>'DIA_Giả Định'!$J$6*C$60*('DIA_Giả Định'!$J$9*$A$64*'DIA_Giả Định'!$J$5+'DIA_Giả Định'!$J$10*$A$64*'DIA_Giả Định'!$J$5*(1-(1-'DIA_Giả Định'!$J$36/('DIA_Giả Định'!$J$35*'DIA_Giả Định'!$J$5))))</f>
        <v>1963548453493350.3</v>
      </c>
      <c r="D64" s="127">
        <f>'DIA_Giả Định'!$J$6*D$60*('DIA_Giả Định'!$J$9*$A$64*'DIA_Giả Định'!$J$5+'DIA_Giả Định'!$J$10*$A$64*'DIA_Giả Định'!$J$5*(1-(1-'DIA_Giả Định'!$J$36/('DIA_Giả Định'!$J$35*'DIA_Giả Định'!$J$5))))</f>
        <v>2159903298842685.5</v>
      </c>
      <c r="E64" s="127">
        <f>'DIA_Giả Định'!$J$6*E$60*('DIA_Giả Định'!$J$9*$A$64*'DIA_Giả Định'!$J$5+'DIA_Giả Định'!$J$10*$A$64*'DIA_Giả Định'!$J$5*(1-(1-'DIA_Giả Định'!$J$36/('DIA_Giả Định'!$J$35*'DIA_Giả Định'!$J$5))))</f>
        <v>2356258144192020.5</v>
      </c>
      <c r="F64" s="1"/>
      <c r="G64" s="136">
        <f>(('DIA_Giả Định'!$J$25*'DIA_Giả Định'!$J$38+'DIA_Giả Định'!$J$26*'DIA_Giả Định'!$J$37)/('DIA_Giả Định'!$J$25+'DIA_Giả Định'!$J$26))*'DIA_Giả Định'!$N$147</f>
        <v>3866587.0531007508</v>
      </c>
      <c r="H64" s="127">
        <f>$G$64*H$60*'DIA_Giả Định'!$J$5</f>
        <v>1670365606.9395242</v>
      </c>
      <c r="I64" s="127">
        <f>$G$64*I$60*'DIA_Giả Định'!$J$5</f>
        <v>1855961785.4883604</v>
      </c>
      <c r="J64" s="127">
        <f>$G$64*J$60*'DIA_Giả Định'!$J$5</f>
        <v>2041557964.0371962</v>
      </c>
      <c r="K64" s="127">
        <f>$G$64*K$60*'DIA_Giả Định'!$J$5</f>
        <v>2227154142.5860329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32.25" customHeight="1" x14ac:dyDescent="0.3">
      <c r="A65" s="136">
        <f>'DIA_Giả Định'!$J$35*'DIA_Giả Định'!$N$148</f>
        <v>57112.945812000005</v>
      </c>
      <c r="B65" s="127">
        <f>'DIA_Giả Định'!$J$6*B$60*('DIA_Giả Định'!$J$9*$A$65*'DIA_Giả Định'!$J$5+'DIA_Giả Định'!$J$10*$A$65*'DIA_Giả Định'!$J$5*(1-(1-'DIA_Giả Định'!$J$36/('DIA_Giả Định'!$J$35*'DIA_Giả Định'!$J$5))))</f>
        <v>1927847572520744</v>
      </c>
      <c r="C65" s="127">
        <f>'DIA_Giả Định'!$J$6*C$60*('DIA_Giả Định'!$J$9*$A$65*'DIA_Giả Định'!$J$5+'DIA_Giả Định'!$J$10*$A$65*'DIA_Giả Định'!$J$5*(1-(1-'DIA_Giả Định'!$J$36/('DIA_Giả Định'!$J$35*'DIA_Giả Định'!$J$5))))</f>
        <v>2142052858356382</v>
      </c>
      <c r="D65" s="127">
        <f>'DIA_Giả Định'!$J$6*D$60*('DIA_Giả Định'!$J$9*$A$65*'DIA_Giả Định'!$J$5+'DIA_Giả Định'!$J$10*$A$65*'DIA_Giả Định'!$J$5*(1-(1-'DIA_Giả Định'!$J$36/('DIA_Giả Định'!$J$35*'DIA_Giả Định'!$J$5))))</f>
        <v>2356258144192020.5</v>
      </c>
      <c r="E65" s="127">
        <f>'DIA_Giả Định'!$J$6*E$60*('DIA_Giả Định'!$J$9*$A$65*'DIA_Giả Định'!$J$5+'DIA_Giả Định'!$J$10*$A$65*'DIA_Giả Định'!$J$5*(1-(1-'DIA_Giả Định'!$J$36/('DIA_Giả Định'!$J$35*'DIA_Giả Định'!$J$5))))</f>
        <v>2570463430027658.5</v>
      </c>
      <c r="F65" s="1"/>
      <c r="G65" s="136">
        <f>(('DIA_Giả Định'!$J$25*'DIA_Giả Định'!$J$38+'DIA_Giả Định'!$J$26*'DIA_Giả Định'!$J$37)/('DIA_Giả Định'!$J$25+'DIA_Giả Định'!$J$26))*'DIA_Giả Định'!$N$148</f>
        <v>4218094.9670190001</v>
      </c>
      <c r="H65" s="127">
        <f>$G$65*H$60*'DIA_Giả Định'!$J$5</f>
        <v>1822217025.752208</v>
      </c>
      <c r="I65" s="127">
        <f>$G$65*I$60*'DIA_Giả Định'!$J$5</f>
        <v>2024685584.1691198</v>
      </c>
      <c r="J65" s="127">
        <f>$G$65*J$60*'DIA_Giả Định'!$J$5</f>
        <v>2227154142.5860319</v>
      </c>
      <c r="K65" s="127">
        <f>$G$65*K$60*'DIA_Giả Định'!$J$5</f>
        <v>2429622701.002944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7.25" customHeight="1" x14ac:dyDescent="0.3">
      <c r="A69" s="222" t="s">
        <v>565</v>
      </c>
      <c r="B69" s="222"/>
      <c r="C69" s="222"/>
      <c r="D69" s="222"/>
      <c r="E69" s="222"/>
      <c r="F69" s="1"/>
      <c r="G69" s="222" t="s">
        <v>566</v>
      </c>
      <c r="H69" s="222"/>
      <c r="I69" s="222"/>
      <c r="J69" s="222"/>
      <c r="K69" s="22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32.25" customHeight="1" x14ac:dyDescent="0.3">
      <c r="A70" s="133" t="s">
        <v>567</v>
      </c>
      <c r="B70" s="137">
        <f>'DIA_Giả Định'!$J$23*'DIA_Giả Định'!$N$144</f>
        <v>1.2000000000000002</v>
      </c>
      <c r="C70" s="137">
        <f>'DIA_Giả Định'!$J$23*'DIA_Giả Định'!$N$145</f>
        <v>1.35</v>
      </c>
      <c r="D70" s="137">
        <f>'DIA_Giả Định'!$J$23*'DIA_Giả Định'!$N$146</f>
        <v>1.5</v>
      </c>
      <c r="E70" s="137">
        <f>'DIA_Giả Định'!$J$23*'DIA_Giả Định'!$N$148</f>
        <v>1.7999999999999998</v>
      </c>
      <c r="F70" s="1"/>
      <c r="G70" s="133" t="s">
        <v>568</v>
      </c>
      <c r="H70" s="134">
        <f>'DIA_Giả Định'!$J$17*'DIA_Giả Định'!$N$145</f>
        <v>4.500000000000004E-2</v>
      </c>
      <c r="I70" s="134">
        <f>'DIA_Giả Định'!$J$17*'DIA_Giả Định'!$N$146</f>
        <v>5.0000000000000044E-2</v>
      </c>
      <c r="J70" s="134">
        <f>'DIA_Giả Định'!$J$17*'DIA_Giả Định'!$N$147</f>
        <v>5.5000000000000056E-2</v>
      </c>
      <c r="K70" s="134">
        <f>'DIA_Giả Định'!$J$17*'DIA_Giả Định'!$N$148</f>
        <v>6.0000000000000053E-2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7.25" customHeight="1" x14ac:dyDescent="0.3">
      <c r="A71" s="136">
        <f>'DIA_Giả Định'!$J$45*'DIA_Giả Định'!$N$144</f>
        <v>112</v>
      </c>
      <c r="B71" s="127">
        <f>'DIA_Giả Định'!$J$6*'DIA_Giả Định'!$J$7*$A$71*B$70*'DIA_Giả Định'!$J$5</f>
        <v>62092800.000000015</v>
      </c>
      <c r="C71" s="127">
        <f>'DIA_Giả Định'!$J$6*'DIA_Giả Định'!$J$7*$A$71*C$70*'DIA_Giả Định'!$J$5</f>
        <v>69854400</v>
      </c>
      <c r="D71" s="127">
        <f>'DIA_Giả Định'!$J$6*'DIA_Giả Định'!$J$7*$A$71*D$70*'DIA_Giả Định'!$J$5</f>
        <v>77616000</v>
      </c>
      <c r="E71" s="127">
        <f>'DIA_Giả Định'!$J$6*'DIA_Giả Định'!$J$7*$A$71*E$70*'DIA_Giả Định'!$J$5</f>
        <v>93139199.999999985</v>
      </c>
      <c r="F71" s="1"/>
      <c r="G71" s="136">
        <f>'DIA_Hiệu Quả TC'!$D$87*'DIA_Giả Định'!$N$144</f>
        <v>0</v>
      </c>
      <c r="H71" s="138">
        <f>IFERROR(('DIA_Giá và Doanh Thu'!$H$21*'DIA_Hiệu Quả TC'!$D$35/H$70)/$G$71,0)</f>
        <v>0</v>
      </c>
      <c r="I71" s="138">
        <f>IFERROR(('DIA_Giá và Doanh Thu'!$H$21*'DIA_Hiệu Quả TC'!$D$35/I$70)/$G$71,0)</f>
        <v>0</v>
      </c>
      <c r="J71" s="138">
        <f>IFERROR(('DIA_Giá và Doanh Thu'!$H$21*'DIA_Hiệu Quả TC'!$D$35/J$70)/$G$71,0)</f>
        <v>0</v>
      </c>
      <c r="K71" s="138">
        <f>IFERROR(('DIA_Giá và Doanh Thu'!$H$21*'DIA_Hiệu Quả TC'!$D$35/K$70)/$G$71,0)</f>
        <v>0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7.25" customHeight="1" x14ac:dyDescent="0.3">
      <c r="A72" s="136">
        <f>'DIA_Giả Định'!$J$45*'DIA_Giả Định'!$N$145</f>
        <v>126</v>
      </c>
      <c r="B72" s="127">
        <f>'DIA_Giả Định'!$J$6*'DIA_Giả Định'!$J$7*$A$72*B$70*'DIA_Giả Định'!$J$5</f>
        <v>69854400.000000015</v>
      </c>
      <c r="C72" s="127">
        <f>'DIA_Giả Định'!$J$6*'DIA_Giả Định'!$J$7*$A$72*C$70*'DIA_Giả Định'!$J$5</f>
        <v>78586200</v>
      </c>
      <c r="D72" s="127">
        <f>'DIA_Giả Định'!$J$6*'DIA_Giả Định'!$J$7*$A$72*D$70*'DIA_Giả Định'!$J$5</f>
        <v>87318000</v>
      </c>
      <c r="E72" s="127">
        <f>'DIA_Giả Định'!$J$6*'DIA_Giả Định'!$J$7*$A$72*E$70*'DIA_Giả Định'!$J$5</f>
        <v>104781600</v>
      </c>
      <c r="F72" s="1"/>
      <c r="G72" s="136">
        <f>'DIA_Hiệu Quả TC'!$D$87*'DIA_Giả Định'!$N$145</f>
        <v>0</v>
      </c>
      <c r="H72" s="138">
        <f>IFERROR(('DIA_Giá và Doanh Thu'!$H$21*'DIA_Hiệu Quả TC'!$D$35/H$70)/$G$72,0)</f>
        <v>0</v>
      </c>
      <c r="I72" s="138">
        <f>IFERROR(('DIA_Giá và Doanh Thu'!$H$21*'DIA_Hiệu Quả TC'!$D$35/I$70)/$G$72,0)</f>
        <v>0</v>
      </c>
      <c r="J72" s="138">
        <f>IFERROR(('DIA_Giá và Doanh Thu'!$H$21*'DIA_Hiệu Quả TC'!$D$35/J$70)/$G$72,0)</f>
        <v>0</v>
      </c>
      <c r="K72" s="138">
        <f>IFERROR(('DIA_Giá và Doanh Thu'!$H$21*'DIA_Hiệu Quả TC'!$D$35/K$70)/$G$72,0)</f>
        <v>0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7.25" customHeight="1" x14ac:dyDescent="0.3">
      <c r="A73" s="136">
        <f>'DIA_Giả Định'!$J$45*'DIA_Giả Định'!$N$146</f>
        <v>140</v>
      </c>
      <c r="B73" s="127">
        <f>'DIA_Giả Định'!$J$6*'DIA_Giả Định'!$J$7*$A$73*B$70*'DIA_Giả Định'!$J$5</f>
        <v>77616000.000000015</v>
      </c>
      <c r="C73" s="127">
        <f>'DIA_Giả Định'!$J$6*'DIA_Giả Định'!$J$7*$A$73*C$70*'DIA_Giả Định'!$J$5</f>
        <v>87318000.000000015</v>
      </c>
      <c r="D73" s="127">
        <f>'DIA_Giả Định'!$J$6*'DIA_Giả Định'!$J$7*$A$73*D$70*'DIA_Giả Định'!$J$5</f>
        <v>97020000</v>
      </c>
      <c r="E73" s="127">
        <f>'DIA_Giả Định'!$J$6*'DIA_Giả Định'!$J$7*$A$73*E$70*'DIA_Giả Định'!$J$5</f>
        <v>116423999.99999997</v>
      </c>
      <c r="F73" s="1"/>
      <c r="G73" s="136">
        <f>'DIA_Hiệu Quả TC'!$D$87*'DIA_Giả Định'!$N$146</f>
        <v>0</v>
      </c>
      <c r="H73" s="138">
        <f>IFERROR(('DIA_Giá và Doanh Thu'!$H$21*'DIA_Hiệu Quả TC'!$D$35/H$70)/$G$73,0)</f>
        <v>0</v>
      </c>
      <c r="I73" s="138">
        <f>IFERROR(('DIA_Giá và Doanh Thu'!$H$21*'DIA_Hiệu Quả TC'!$D$35/I$70)/$G$73,0)</f>
        <v>0</v>
      </c>
      <c r="J73" s="138">
        <f>IFERROR(('DIA_Giá và Doanh Thu'!$H$21*'DIA_Hiệu Quả TC'!$D$35/J$70)/$G$73,0)</f>
        <v>0</v>
      </c>
      <c r="K73" s="138">
        <f>IFERROR(('DIA_Giá và Doanh Thu'!$H$21*'DIA_Hiệu Quả TC'!$D$35/K$70)/$G$73,0)</f>
        <v>0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32.25" customHeight="1" x14ac:dyDescent="0.3">
      <c r="A74" s="136">
        <f>'DIA_Giả Định'!$J$45*'DIA_Giả Định'!$N$147</f>
        <v>154</v>
      </c>
      <c r="B74" s="127">
        <f>'DIA_Giả Định'!$J$6*'DIA_Giả Định'!$J$7*$A$74*B$70*'DIA_Giả Định'!$J$5</f>
        <v>85377600.000000015</v>
      </c>
      <c r="C74" s="127">
        <f>'DIA_Giả Định'!$J$6*'DIA_Giả Định'!$J$7*$A$74*C$70*'DIA_Giả Định'!$J$5</f>
        <v>96049800.000000015</v>
      </c>
      <c r="D74" s="127">
        <f>'DIA_Giả Định'!$J$6*'DIA_Giả Định'!$J$7*$A$74*D$70*'DIA_Giả Định'!$J$5</f>
        <v>106722000</v>
      </c>
      <c r="E74" s="127">
        <f>'DIA_Giả Định'!$J$6*'DIA_Giả Định'!$J$7*$A$74*E$70*'DIA_Giả Định'!$J$5</f>
        <v>128066399.99999997</v>
      </c>
      <c r="F74" s="1"/>
      <c r="G74" s="136">
        <f>'DIA_Hiệu Quả TC'!$D$87*'DIA_Giả Định'!$N$147</f>
        <v>0</v>
      </c>
      <c r="H74" s="138">
        <f>IFERROR(('DIA_Giá và Doanh Thu'!$H$21*'DIA_Hiệu Quả TC'!$D$35/H$70)/$G$74,0)</f>
        <v>0</v>
      </c>
      <c r="I74" s="138">
        <f>IFERROR(('DIA_Giá và Doanh Thu'!$H$21*'DIA_Hiệu Quả TC'!$D$35/I$70)/$G$74,0)</f>
        <v>0</v>
      </c>
      <c r="J74" s="138">
        <f>IFERROR(('DIA_Giá và Doanh Thu'!$H$21*'DIA_Hiệu Quả TC'!$D$35/J$70)/$G$74,0)</f>
        <v>0</v>
      </c>
      <c r="K74" s="138">
        <f>IFERROR(('DIA_Giá và Doanh Thu'!$H$21*'DIA_Hiệu Quả TC'!$D$35/K$70)/$G$74,0)</f>
        <v>0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32.25" customHeight="1" x14ac:dyDescent="0.3">
      <c r="A75" s="136">
        <f>'DIA_Giả Định'!$J$45*'DIA_Giả Định'!$N$148</f>
        <v>168</v>
      </c>
      <c r="B75" s="127">
        <f>'DIA_Giả Định'!$J$6*'DIA_Giả Định'!$J$7*$A$75*B$70*'DIA_Giả Định'!$J$5</f>
        <v>93139200.000000015</v>
      </c>
      <c r="C75" s="127">
        <f>'DIA_Giả Định'!$J$6*'DIA_Giả Định'!$J$7*$A$75*C$70*'DIA_Giả Định'!$J$5</f>
        <v>104781600</v>
      </c>
      <c r="D75" s="127">
        <f>'DIA_Giả Định'!$J$6*'DIA_Giả Định'!$J$7*$A$75*D$70*'DIA_Giả Định'!$J$5</f>
        <v>116424000</v>
      </c>
      <c r="E75" s="127">
        <f>'DIA_Giả Định'!$J$6*'DIA_Giả Định'!$J$7*$A$75*E$70*'DIA_Giả Định'!$J$5</f>
        <v>139708799.99999997</v>
      </c>
      <c r="F75" s="1"/>
      <c r="G75" s="136">
        <f>'DIA_Hiệu Quả TC'!$D$87*'DIA_Giả Định'!$N$148</f>
        <v>0</v>
      </c>
      <c r="H75" s="138">
        <f>IFERROR(('DIA_Giá và Doanh Thu'!$H$21*'DIA_Hiệu Quả TC'!$D$35/H$70)/$G$75,0)</f>
        <v>0</v>
      </c>
      <c r="I75" s="138">
        <f>IFERROR(('DIA_Giá và Doanh Thu'!$H$21*'DIA_Hiệu Quả TC'!$D$35/I$70)/$G$75,0)</f>
        <v>0</v>
      </c>
      <c r="J75" s="138">
        <f>IFERROR(('DIA_Giá và Doanh Thu'!$H$21*'DIA_Hiệu Quả TC'!$D$35/J$70)/$G$75,0)</f>
        <v>0</v>
      </c>
      <c r="K75" s="138">
        <f>IFERROR(('DIA_Giá và Doanh Thu'!$H$21*'DIA_Hiệu Quả TC'!$D$35/K$70)/$G$75,0)</f>
        <v>0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3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3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3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3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3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3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3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3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3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3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3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3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3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3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3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3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3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3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3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3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3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3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3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3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3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3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3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3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3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3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3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3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3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3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3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3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3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3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3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3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3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3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3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3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3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3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3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3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3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3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3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3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3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3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3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3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3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3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3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3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3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3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3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3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3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3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3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3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3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3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3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3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3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3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3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3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3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3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3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3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3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3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3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3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3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3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3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3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3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3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3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3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3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3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3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3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3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3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3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3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3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3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3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3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3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3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3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3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3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3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3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3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3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3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3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3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3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3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3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3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3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3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3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3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3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3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3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3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3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3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3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3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3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3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3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3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3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3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3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3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3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3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3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3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3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3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3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3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3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3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3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3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3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3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3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3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3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3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3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3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3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3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3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3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3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3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3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3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3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3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3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3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3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3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3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3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3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3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3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3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3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3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3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3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3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3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3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3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3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3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3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3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3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3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3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3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3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3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3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3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3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3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3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3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3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3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3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3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3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3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3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3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3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3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3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3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3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3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3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3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3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3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3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3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3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3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3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3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3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3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3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3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3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3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3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3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3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3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3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3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3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3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3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3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3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3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3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3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3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3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3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3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3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3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3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3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3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3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3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3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3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3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3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3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3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3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3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3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3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3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3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3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3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3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3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3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3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3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3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3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3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3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3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3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3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3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3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3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3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3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3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3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3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3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3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3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3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3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3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3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3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3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3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3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3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3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3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3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3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3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3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3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3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3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3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3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3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3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3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3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3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3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3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3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3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3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3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3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3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3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3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3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3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3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3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3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3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3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3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3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3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3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3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3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3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3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3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3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3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3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3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3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3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3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3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3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3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3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3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3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3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3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3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3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3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3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3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3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3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3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3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3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3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3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3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3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3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3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3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3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3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3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3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3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3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3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3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3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3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3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3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3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3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3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3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3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3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3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3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3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3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3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3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3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3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3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3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3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3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3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3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3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3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3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3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3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3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3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3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3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3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3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3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3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3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3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3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3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3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3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3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3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3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3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3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3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3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3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3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3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3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3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3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3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3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3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3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3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3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3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3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3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3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3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3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3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3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3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3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3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3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3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3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3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3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3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3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3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3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3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3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3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3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3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3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3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3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3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3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3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3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3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3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3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3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3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3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3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3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3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3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3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3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3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3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3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3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3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3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3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3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3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3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3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3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3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3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3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3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3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3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3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3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3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3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3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3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3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3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3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3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3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3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3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3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3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3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3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3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3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3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3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3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3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3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3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3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3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3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3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3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3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3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3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3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3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3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3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3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3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3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3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3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3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3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3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3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3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3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3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3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3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3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3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3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3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3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3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3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3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3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3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3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3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3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3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3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3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3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3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3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3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3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3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3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3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3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3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3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3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3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3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3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3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3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3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3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3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3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3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3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3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3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3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3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3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3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3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3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3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3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3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3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3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3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3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3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3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3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3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3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3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3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3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3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3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3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3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3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3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3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3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3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3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3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3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3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3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3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3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3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3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3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3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3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3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3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3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3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3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3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3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3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3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3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3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3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3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3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3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3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3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3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3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3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3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3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3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3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3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3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3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3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3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3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3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3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3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3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3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3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3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3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3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3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3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3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3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3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3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3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3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3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3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3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3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3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3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3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3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3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3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3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3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3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3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3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3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3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3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3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3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3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3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3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3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3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3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3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3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3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3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3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3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3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3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3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3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3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3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3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3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3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3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3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3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3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3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3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3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3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3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3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3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3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3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3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mergeCells count="11">
    <mergeCell ref="A57:L57"/>
    <mergeCell ref="A59:E59"/>
    <mergeCell ref="G59:K59"/>
    <mergeCell ref="A69:E69"/>
    <mergeCell ref="G69:K69"/>
    <mergeCell ref="A1:L1"/>
    <mergeCell ref="A2:L2"/>
    <mergeCell ref="A4:E4"/>
    <mergeCell ref="B20:D20"/>
    <mergeCell ref="E20:G20"/>
    <mergeCell ref="H20:J20"/>
  </mergeCells>
  <conditionalFormatting sqref="B61:E65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B71:E75">
    <cfRule type="colorScale" priority="3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H61:K65">
    <cfRule type="colorScale" priority="4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H71:K75">
    <cfRule type="colorScale" priority="5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9"/>
  <sheetViews>
    <sheetView showGridLines="0" topLeftCell="A70" zoomScale="70" zoomScaleNormal="70" workbookViewId="0">
      <selection activeCell="F74" sqref="F74"/>
    </sheetView>
  </sheetViews>
  <sheetFormatPr defaultColWidth="12.5703125" defaultRowHeight="15" x14ac:dyDescent="0.25"/>
  <cols>
    <col min="1" max="1" width="50.42578125" customWidth="1"/>
    <col min="2" max="2" width="26.140625" customWidth="1"/>
    <col min="3" max="3" width="28.140625" customWidth="1"/>
    <col min="4" max="4" width="28.7109375" customWidth="1"/>
    <col min="5" max="5" width="30.140625" customWidth="1"/>
    <col min="6" max="6" width="18" customWidth="1"/>
    <col min="7" max="26" width="8.5703125" customWidth="1"/>
  </cols>
  <sheetData>
    <row r="1" spans="1:26" ht="24" customHeight="1" x14ac:dyDescent="0.3">
      <c r="A1" s="223" t="s">
        <v>569</v>
      </c>
      <c r="B1" s="223"/>
      <c r="C1" s="223"/>
      <c r="D1" s="223"/>
      <c r="E1" s="223"/>
      <c r="F1" s="139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6" ht="13.5" customHeight="1" x14ac:dyDescent="0.3">
      <c r="A2" s="141"/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</row>
    <row r="3" spans="1:26" ht="18" customHeight="1" x14ac:dyDescent="0.3">
      <c r="A3" s="224" t="s">
        <v>570</v>
      </c>
      <c r="B3" s="224"/>
      <c r="C3" s="224"/>
      <c r="D3" s="224"/>
      <c r="E3" s="224"/>
      <c r="F3" s="142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</row>
    <row r="4" spans="1:26" ht="18" customHeight="1" x14ac:dyDescent="0.3">
      <c r="A4" s="143" t="s">
        <v>521</v>
      </c>
      <c r="B4" s="143" t="s">
        <v>571</v>
      </c>
      <c r="C4" s="225" t="s">
        <v>8</v>
      </c>
      <c r="D4" s="225"/>
      <c r="E4" s="225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</row>
    <row r="5" spans="1:26" ht="18" customHeight="1" x14ac:dyDescent="0.3">
      <c r="A5" s="144" t="s">
        <v>513</v>
      </c>
      <c r="B5" s="145">
        <f>'DIA_Chi Phí'!$D$21</f>
        <v>1755250000</v>
      </c>
      <c r="C5" s="226" t="s">
        <v>572</v>
      </c>
      <c r="D5" s="226"/>
      <c r="E5" s="226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</row>
    <row r="6" spans="1:26" ht="18" customHeight="1" x14ac:dyDescent="0.3">
      <c r="A6" s="144" t="s">
        <v>452</v>
      </c>
      <c r="B6" s="145">
        <f>SUMIF('DIA_Chi Phí'!$I$6:$I$20,"Tài sản hữu hình",'DIA_Chi Phí'!$D$6:$D$20)</f>
        <v>139800000</v>
      </c>
      <c r="C6" s="226" t="s">
        <v>572</v>
      </c>
      <c r="D6" s="226"/>
      <c r="E6" s="226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</row>
    <row r="7" spans="1:26" ht="33.75" customHeight="1" x14ac:dyDescent="0.3">
      <c r="A7" s="144" t="s">
        <v>573</v>
      </c>
      <c r="B7" s="145">
        <f>SUMIF('DIA_Chi Phí'!$I$6:$I$20,"Phần mềm",'DIA_Chi Phí'!$D$6:$D$20)</f>
        <v>454450000</v>
      </c>
      <c r="C7" s="226" t="s">
        <v>572</v>
      </c>
      <c r="D7" s="226"/>
      <c r="E7" s="226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</row>
    <row r="8" spans="1:26" ht="18" customHeight="1" x14ac:dyDescent="0.3">
      <c r="A8" s="144" t="s">
        <v>462</v>
      </c>
      <c r="B8" s="145">
        <f>'DIA_Chi Phí'!$D$19</f>
        <v>300000000</v>
      </c>
      <c r="C8" s="226" t="s">
        <v>572</v>
      </c>
      <c r="D8" s="226"/>
      <c r="E8" s="226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</row>
    <row r="9" spans="1:26" ht="18" customHeight="1" x14ac:dyDescent="0.3">
      <c r="A9" s="144" t="s">
        <v>574</v>
      </c>
      <c r="B9" s="145">
        <f>B5*'DIA_Giả Định'!$N$61</f>
        <v>0</v>
      </c>
      <c r="C9" s="226" t="s">
        <v>572</v>
      </c>
      <c r="D9" s="226"/>
      <c r="E9" s="226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</row>
    <row r="10" spans="1:26" ht="18" customHeight="1" x14ac:dyDescent="0.3">
      <c r="A10" s="144" t="s">
        <v>575</v>
      </c>
      <c r="B10" s="145">
        <f>B5-B9</f>
        <v>1755250000</v>
      </c>
      <c r="C10" s="226" t="s">
        <v>572</v>
      </c>
      <c r="D10" s="226"/>
      <c r="E10" s="226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</row>
    <row r="11" spans="1:26" ht="18" customHeight="1" x14ac:dyDescent="0.3">
      <c r="A11" s="144" t="s">
        <v>576</v>
      </c>
      <c r="B11" s="147">
        <f>'DIA_Giả Định'!$N$62</f>
        <v>0.1</v>
      </c>
      <c r="C11" s="226" t="s">
        <v>572</v>
      </c>
      <c r="D11" s="226"/>
      <c r="E11" s="226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</row>
    <row r="12" spans="1:26" ht="18" customHeight="1" x14ac:dyDescent="0.3">
      <c r="A12" s="144" t="s">
        <v>577</v>
      </c>
      <c r="B12" s="147">
        <f>'DIA_Giả Định'!$N$60</f>
        <v>0.18</v>
      </c>
      <c r="C12" s="226" t="s">
        <v>572</v>
      </c>
      <c r="D12" s="226"/>
      <c r="E12" s="226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</row>
    <row r="13" spans="1:26" ht="18" customHeight="1" x14ac:dyDescent="0.3">
      <c r="A13" s="144" t="s">
        <v>246</v>
      </c>
      <c r="B13" s="147">
        <f>'DIA_Giả Định'!$N$59</f>
        <v>0.2</v>
      </c>
      <c r="C13" s="226" t="s">
        <v>572</v>
      </c>
      <c r="D13" s="226"/>
      <c r="E13" s="226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</row>
    <row r="14" spans="1:26" ht="18" customHeight="1" x14ac:dyDescent="0.3">
      <c r="A14" s="144" t="s">
        <v>578</v>
      </c>
      <c r="B14" s="148">
        <f>'DIA_Giả Định'!$N$64</f>
        <v>1</v>
      </c>
      <c r="C14" s="226" t="s">
        <v>572</v>
      </c>
      <c r="D14" s="226"/>
      <c r="E14" s="226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</row>
    <row r="15" spans="1:26" ht="18" customHeight="1" x14ac:dyDescent="0.3">
      <c r="A15" s="144" t="s">
        <v>263</v>
      </c>
      <c r="B15" s="148">
        <f>'DIA_Giả Định'!$N$66</f>
        <v>3</v>
      </c>
      <c r="C15" s="226" t="s">
        <v>572</v>
      </c>
      <c r="D15" s="226"/>
      <c r="E15" s="226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</row>
    <row r="16" spans="1:26" ht="13.5" customHeight="1" x14ac:dyDescent="0.3">
      <c r="A16" s="141"/>
      <c r="B16" s="149"/>
      <c r="C16" s="227"/>
      <c r="D16" s="227"/>
      <c r="E16" s="227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</row>
    <row r="17" spans="1:26" ht="18" customHeight="1" x14ac:dyDescent="0.3">
      <c r="A17" s="224" t="s">
        <v>579</v>
      </c>
      <c r="B17" s="224"/>
      <c r="C17" s="224"/>
      <c r="D17" s="224"/>
      <c r="E17" s="224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</row>
    <row r="18" spans="1:26" ht="18" customHeight="1" x14ac:dyDescent="0.3">
      <c r="A18" s="228" t="s">
        <v>580</v>
      </c>
      <c r="B18" s="228"/>
      <c r="C18" s="228"/>
      <c r="D18" s="228"/>
      <c r="E18" s="228"/>
      <c r="F18" s="150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</row>
    <row r="19" spans="1:26" ht="18" customHeight="1" x14ac:dyDescent="0.3">
      <c r="A19" s="143" t="s">
        <v>521</v>
      </c>
      <c r="B19" s="143" t="s">
        <v>467</v>
      </c>
      <c r="C19" s="143" t="s">
        <v>469</v>
      </c>
      <c r="D19" s="143" t="s">
        <v>471</v>
      </c>
      <c r="E19" s="143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</row>
    <row r="20" spans="1:26" ht="18" customHeight="1" x14ac:dyDescent="0.3">
      <c r="A20" s="144" t="s">
        <v>581</v>
      </c>
      <c r="B20" s="145">
        <f>IF('DIA_Giả Định'!$N$61=0,0,B9)</f>
        <v>0</v>
      </c>
      <c r="C20" s="145">
        <f>B24</f>
        <v>0</v>
      </c>
      <c r="D20" s="145">
        <f>C24</f>
        <v>0</v>
      </c>
      <c r="E20" s="15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</row>
    <row r="21" spans="1:26" ht="18" customHeight="1" x14ac:dyDescent="0.3">
      <c r="A21" s="144" t="s">
        <v>582</v>
      </c>
      <c r="B21" s="145">
        <f>IF('DIA_Giả Định'!$N$61=0,0,B20*'DIA_Giả Định'!$N$62)</f>
        <v>0</v>
      </c>
      <c r="C21" s="145">
        <f>IF('DIA_Giả Định'!$N$61=0,0,C20*'DIA_Giả Định'!$O$62)</f>
        <v>0</v>
      </c>
      <c r="D21" s="145">
        <f>IF('DIA_Giả Định'!$N$61=0,0,D20*'DIA_Giả Định'!$P$62)</f>
        <v>0</v>
      </c>
      <c r="E21" s="15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</row>
    <row r="22" spans="1:26" ht="18" customHeight="1" x14ac:dyDescent="0.3">
      <c r="A22" s="144" t="s">
        <v>583</v>
      </c>
      <c r="B22" s="145">
        <f>B21</f>
        <v>0</v>
      </c>
      <c r="C22" s="145">
        <f>C21</f>
        <v>0</v>
      </c>
      <c r="D22" s="145">
        <f>D21</f>
        <v>0</v>
      </c>
      <c r="E22" s="15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</row>
    <row r="23" spans="1:26" ht="18" customHeight="1" x14ac:dyDescent="0.3">
      <c r="A23" s="144" t="s">
        <v>584</v>
      </c>
      <c r="B23" s="145">
        <f>IF('DIA_Giả Định'!$N$61=0,0,MIN(B20,B9/'DIA_Giả Định'!$N$71))</f>
        <v>0</v>
      </c>
      <c r="C23" s="145">
        <f>IF('DIA_Giả Định'!$N$61=0,0,MIN(C20,B9/'DIA_Giả Định'!$N$71))</f>
        <v>0</v>
      </c>
      <c r="D23" s="145">
        <f>IF('DIA_Giả Định'!$N$61=0,0,MIN(D20,B9/'DIA_Giả Định'!$N$71))</f>
        <v>0</v>
      </c>
      <c r="E23" s="15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</row>
    <row r="24" spans="1:26" ht="18" customHeight="1" x14ac:dyDescent="0.3">
      <c r="A24" s="144" t="s">
        <v>585</v>
      </c>
      <c r="B24" s="145">
        <f>MAX(0,B20-B23)</f>
        <v>0</v>
      </c>
      <c r="C24" s="145">
        <f>MAX(0,C20-C23)</f>
        <v>0</v>
      </c>
      <c r="D24" s="145">
        <f>MAX(0,D20-D23)</f>
        <v>0</v>
      </c>
      <c r="E24" s="15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</row>
    <row r="25" spans="1:26" ht="18" customHeight="1" x14ac:dyDescent="0.3">
      <c r="A25" s="141"/>
      <c r="B25" s="149"/>
      <c r="C25" s="149"/>
      <c r="D25" s="149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</row>
    <row r="26" spans="1:26" ht="16.5" customHeight="1" x14ac:dyDescent="0.3">
      <c r="A26" s="141"/>
      <c r="B26" s="149"/>
      <c r="C26" s="149"/>
      <c r="D26" s="149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</row>
    <row r="27" spans="1:26" ht="18" customHeight="1" x14ac:dyDescent="0.3">
      <c r="A27" s="228" t="s">
        <v>586</v>
      </c>
      <c r="B27" s="228"/>
      <c r="C27" s="228"/>
      <c r="D27" s="228"/>
      <c r="E27" s="228"/>
      <c r="F27" s="150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</row>
    <row r="28" spans="1:26" ht="18" customHeight="1" x14ac:dyDescent="0.3">
      <c r="A28" s="143" t="s">
        <v>521</v>
      </c>
      <c r="B28" s="143" t="s">
        <v>467</v>
      </c>
      <c r="C28" s="143" t="s">
        <v>469</v>
      </c>
      <c r="D28" s="143" t="s">
        <v>471</v>
      </c>
      <c r="E28" s="143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</row>
    <row r="29" spans="1:26" ht="33.75" customHeight="1" x14ac:dyDescent="0.3">
      <c r="A29" s="152" t="s">
        <v>547</v>
      </c>
      <c r="B29" s="153">
        <f>'DIA_Giá và Doanh Thu'!$F$20</f>
        <v>2201140000</v>
      </c>
      <c r="C29" s="153">
        <f>'DIA_Giá và Doanh Thu'!$G$20</f>
        <v>6923047728.000001</v>
      </c>
      <c r="D29" s="153">
        <f>'DIA_Giá và Doanh Thu'!$H$20</f>
        <v>9069186030.7696018</v>
      </c>
      <c r="E29" s="154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</row>
    <row r="30" spans="1:26" ht="33.75" customHeight="1" x14ac:dyDescent="0.3">
      <c r="A30" s="144" t="s">
        <v>543</v>
      </c>
      <c r="B30" s="145">
        <f>'DIA_Giá và Doanh Thu'!$F$15</f>
        <v>1252439999.9999998</v>
      </c>
      <c r="C30" s="145">
        <f>'DIA_Giá và Doanh Thu'!$G$15</f>
        <v>4651815030.000001</v>
      </c>
      <c r="D30" s="145">
        <f>'DIA_Giá và Doanh Thu'!$H$15</f>
        <v>2250333434.4624004</v>
      </c>
      <c r="E30" s="15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</row>
    <row r="31" spans="1:26" ht="18" customHeight="1" x14ac:dyDescent="0.3">
      <c r="A31" s="144" t="s">
        <v>544</v>
      </c>
      <c r="B31" s="145">
        <f>'DIA_Giá và Doanh Thu'!$F$16</f>
        <v>803700000</v>
      </c>
      <c r="C31" s="145">
        <f>'DIA_Giá và Doanh Thu'!$G$16</f>
        <v>2006482698</v>
      </c>
      <c r="D31" s="145">
        <f>'DIA_Giá và Doanh Thu'!$H$16</f>
        <v>6306352596.3072014</v>
      </c>
      <c r="E31" s="15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</row>
    <row r="32" spans="1:26" ht="18" customHeight="1" x14ac:dyDescent="0.3">
      <c r="A32" s="144" t="s">
        <v>587</v>
      </c>
      <c r="B32" s="145">
        <f>'DIA_Giá và Doanh Thu'!$F$18+'DIA_Giá và Doanh Thu'!$F$19</f>
        <v>85000000</v>
      </c>
      <c r="C32" s="145">
        <f>'DIA_Giá và Doanh Thu'!$G$18+'DIA_Giá và Doanh Thu'!$G$19</f>
        <v>174750000</v>
      </c>
      <c r="D32" s="145">
        <f>'DIA_Giá và Doanh Thu'!$H$18+'DIA_Giá và Doanh Thu'!$H$19</f>
        <v>362500000</v>
      </c>
      <c r="E32" s="15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</row>
    <row r="33" spans="1:26" ht="33.75" customHeight="1" x14ac:dyDescent="0.3">
      <c r="A33" s="144" t="s">
        <v>548</v>
      </c>
      <c r="B33" s="145">
        <f>'DIA_Chi Phí'!$D$58</f>
        <v>974263100</v>
      </c>
      <c r="C33" s="145">
        <f>'DIA_Chi Phí'!$E$58</f>
        <v>3382494726.5700002</v>
      </c>
      <c r="D33" s="145">
        <f>'DIA_Chi Phí'!$F$58</f>
        <v>2789018756.138464</v>
      </c>
      <c r="E33" s="15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</row>
    <row r="34" spans="1:26" ht="33.75" customHeight="1" x14ac:dyDescent="0.3">
      <c r="A34" s="152" t="s">
        <v>588</v>
      </c>
      <c r="B34" s="155">
        <f>B29-B33</f>
        <v>1226876900</v>
      </c>
      <c r="C34" s="155">
        <f>C29-C33</f>
        <v>3540553001.4300008</v>
      </c>
      <c r="D34" s="155">
        <f>D29-D33</f>
        <v>6280167274.6311378</v>
      </c>
      <c r="E34" s="154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</row>
    <row r="35" spans="1:26" ht="18" customHeight="1" x14ac:dyDescent="0.3">
      <c r="A35" s="144" t="s">
        <v>589</v>
      </c>
      <c r="B35" s="147">
        <f>IFERROR(B34/B29,0)</f>
        <v>0.55738249270832385</v>
      </c>
      <c r="C35" s="147">
        <f>IFERROR(C34/C29,0)</f>
        <v>0.51141536799036791</v>
      </c>
      <c r="D35" s="147">
        <f>IFERROR(D34/D29,0)</f>
        <v>0.69247309001315183</v>
      </c>
      <c r="E35" s="15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</row>
    <row r="36" spans="1:26" ht="18" customHeight="1" x14ac:dyDescent="0.3">
      <c r="A36" s="144" t="s">
        <v>590</v>
      </c>
      <c r="B36" s="145">
        <f>SUMIF('DIA_Chi Phí'!$I$26:$I$41,"Nhân sự",'DIA_Chi Phí'!$C$26:$C$41)</f>
        <v>588000000</v>
      </c>
      <c r="C36" s="145">
        <f>SUMIF('DIA_Chi Phí'!$I$26:$I$41,"Nhân sự",'DIA_Chi Phí'!$E$26:$E$41)</f>
        <v>720000000</v>
      </c>
      <c r="D36" s="145">
        <f>SUMIF('DIA_Chi Phí'!$I$26:$I$41,"Nhân sự",'DIA_Chi Phí'!$G$26:$G$41)</f>
        <v>864000000</v>
      </c>
      <c r="E36" s="15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</row>
    <row r="37" spans="1:26" ht="18" customHeight="1" x14ac:dyDescent="0.3">
      <c r="A37" s="144" t="s">
        <v>591</v>
      </c>
      <c r="B37" s="145">
        <f>SUMIF('DIA_Chi Phí'!$I$26:$I$41,"Marketing",'DIA_Chi Phí'!$C$26:$C$41)</f>
        <v>180000000</v>
      </c>
      <c r="C37" s="145">
        <f>SUMIF('DIA_Chi Phí'!$I$26:$I$41,"Marketing",'DIA_Chi Phí'!$E$26:$E$41)</f>
        <v>240000000</v>
      </c>
      <c r="D37" s="145">
        <f>SUMIF('DIA_Chi Phí'!$I$26:$I$41,"Marketing",'DIA_Chi Phí'!$G$26:$G$41)</f>
        <v>300000000</v>
      </c>
      <c r="E37" s="15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</row>
    <row r="38" spans="1:26" ht="18" customHeight="1" x14ac:dyDescent="0.3">
      <c r="A38" s="144" t="s">
        <v>592</v>
      </c>
      <c r="B38" s="145">
        <f>SUMIF('DIA_Chi Phí'!$I$26:$I$41,"Công nghệ",'DIA_Chi Phí'!$C$26:$C$41)</f>
        <v>345750000</v>
      </c>
      <c r="C38" s="145">
        <f>SUMIF('DIA_Chi Phí'!$I$26:$I$41,"Công nghệ",'DIA_Chi Phí'!$E$26:$E$41)</f>
        <v>441750000</v>
      </c>
      <c r="D38" s="145">
        <f>SUMIF('DIA_Chi Phí'!$I$26:$I$41,"Công nghệ",'DIA_Chi Phí'!$G$26:$G$41)</f>
        <v>573750000</v>
      </c>
      <c r="E38" s="15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</row>
    <row r="39" spans="1:26" ht="18" customHeight="1" x14ac:dyDescent="0.3">
      <c r="A39" s="144" t="s">
        <v>593</v>
      </c>
      <c r="B39" s="145">
        <f>SUMIF('DIA_Chi Phí'!$I$26:$I$41,"Bán hàng &amp; QLDN",'DIA_Chi Phí'!$C$26:$C$41)</f>
        <v>528000000</v>
      </c>
      <c r="C39" s="145">
        <f>SUMIF('DIA_Chi Phí'!$I$26:$I$41,"Bán hàng &amp; QLDN",'DIA_Chi Phí'!$E$26:$E$41)</f>
        <v>834000000</v>
      </c>
      <c r="D39" s="145">
        <f>SUMIF('DIA_Chi Phí'!$I$26:$I$41,"Bán hàng &amp; QLDN",'DIA_Chi Phí'!$G$26:$G$41)</f>
        <v>1104000000</v>
      </c>
      <c r="E39" s="15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</row>
    <row r="40" spans="1:26" ht="33.75" customHeight="1" x14ac:dyDescent="0.3">
      <c r="A40" s="152" t="s">
        <v>550</v>
      </c>
      <c r="B40" s="155">
        <f>B34-SUM(B36:B39)</f>
        <v>-414873100</v>
      </c>
      <c r="C40" s="155">
        <f>C34-SUM(C36:C39)</f>
        <v>1304803001.4300008</v>
      </c>
      <c r="D40" s="155">
        <f>D34-SUM(D36:D39)</f>
        <v>3438417274.6311378</v>
      </c>
      <c r="E40" s="154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</row>
    <row r="41" spans="1:26" ht="18" customHeight="1" x14ac:dyDescent="0.3">
      <c r="A41" s="144" t="s">
        <v>594</v>
      </c>
      <c r="B41" s="147">
        <f>IFERROR(B40/B29,0)</f>
        <v>-0.18848101438345585</v>
      </c>
      <c r="C41" s="147">
        <f>IFERROR(C40/C29,0)</f>
        <v>0.18847233945142039</v>
      </c>
      <c r="D41" s="147">
        <f>IFERROR(D40/D29,0)</f>
        <v>0.37913184964619778</v>
      </c>
      <c r="E41" s="15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</row>
    <row r="42" spans="1:26" ht="18" customHeight="1" x14ac:dyDescent="0.3">
      <c r="A42" s="144" t="s">
        <v>595</v>
      </c>
      <c r="B42" s="145">
        <f>B6/'DIA_Giả Định'!$N$65+B7/'DIA_Giả Định'!$N$64</f>
        <v>489400000</v>
      </c>
      <c r="C42" s="145">
        <f>IF(2&lt;='DIA_Giả Định'!$N$65,B6/'DIA_Giả Định'!$N$65,0)+IF(2&lt;='DIA_Giả Định'!$N$64,B7/'DIA_Giả Định'!$N$64,0)</f>
        <v>34950000</v>
      </c>
      <c r="D42" s="145">
        <f>IF(3&lt;='DIA_Giả Định'!$N$65,B6/'DIA_Giả Định'!$N$65,0)+IF(3&lt;='DIA_Giả Định'!$N$64,B7/'DIA_Giả Định'!$N$64,0)</f>
        <v>34950000</v>
      </c>
      <c r="E42" s="15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</row>
    <row r="43" spans="1:26" ht="33.75" customHeight="1" x14ac:dyDescent="0.3">
      <c r="A43" s="144" t="s">
        <v>552</v>
      </c>
      <c r="B43" s="145">
        <f>B40-B42</f>
        <v>-904273100</v>
      </c>
      <c r="C43" s="145">
        <f>C40-C42</f>
        <v>1269853001.4300008</v>
      </c>
      <c r="D43" s="145">
        <f>D40-D42</f>
        <v>3403467274.6311378</v>
      </c>
      <c r="E43" s="15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</row>
    <row r="44" spans="1:26" ht="18" customHeight="1" x14ac:dyDescent="0.3">
      <c r="A44" s="144" t="s">
        <v>596</v>
      </c>
      <c r="B44" s="145">
        <f>B22</f>
        <v>0</v>
      </c>
      <c r="C44" s="145">
        <f>C22</f>
        <v>0</v>
      </c>
      <c r="D44" s="145">
        <f>D22</f>
        <v>0</v>
      </c>
      <c r="E44" s="15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</row>
    <row r="45" spans="1:26" ht="33.75" customHeight="1" x14ac:dyDescent="0.3">
      <c r="A45" s="144" t="s">
        <v>597</v>
      </c>
      <c r="B45" s="145">
        <f>B43-B44</f>
        <v>-904273100</v>
      </c>
      <c r="C45" s="145">
        <f>C43-C44</f>
        <v>1269853001.4300008</v>
      </c>
      <c r="D45" s="145">
        <f>D43-D44</f>
        <v>3403467274.6311378</v>
      </c>
      <c r="E45" s="15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</row>
    <row r="46" spans="1:26" ht="18" customHeight="1" x14ac:dyDescent="0.3">
      <c r="A46" s="144" t="s">
        <v>553</v>
      </c>
      <c r="B46" s="145">
        <f>MAX(0,B45*'DIA_Giả Định'!$N$59)</f>
        <v>0</v>
      </c>
      <c r="C46" s="145">
        <f>MAX(0,C45*'DIA_Giả Định'!$O$59)</f>
        <v>253970600.28600016</v>
      </c>
      <c r="D46" s="145">
        <f>MAX(0,D45*'DIA_Giả Định'!$P$59)</f>
        <v>680693454.92622757</v>
      </c>
      <c r="E46" s="15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</row>
    <row r="47" spans="1:26" ht="33.75" customHeight="1" x14ac:dyDescent="0.3">
      <c r="A47" s="152" t="s">
        <v>554</v>
      </c>
      <c r="B47" s="155">
        <f>B45-B46</f>
        <v>-904273100</v>
      </c>
      <c r="C47" s="155">
        <f>C45-C46</f>
        <v>1015882401.1440006</v>
      </c>
      <c r="D47" s="155">
        <f>D45-D46</f>
        <v>2722773819.7049103</v>
      </c>
      <c r="E47" s="154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</row>
    <row r="48" spans="1:26" ht="18" customHeight="1" x14ac:dyDescent="0.3">
      <c r="A48" s="144" t="s">
        <v>598</v>
      </c>
      <c r="B48" s="147">
        <f>IFERROR(B47/B29,0)</f>
        <v>-0.41082034763804209</v>
      </c>
      <c r="C48" s="147">
        <f>IFERROR(C47/C29,0)</f>
        <v>0.14673918786307125</v>
      </c>
      <c r="D48" s="147">
        <f>IFERROR(D47/D29,0)</f>
        <v>0.3002225128547571</v>
      </c>
      <c r="E48" s="15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</row>
    <row r="49" spans="1:26" ht="13.5" customHeight="1" x14ac:dyDescent="0.3">
      <c r="A49" s="141"/>
      <c r="B49" s="149"/>
      <c r="C49" s="149"/>
      <c r="D49" s="149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</row>
    <row r="50" spans="1:26" ht="13.5" customHeight="1" x14ac:dyDescent="0.3">
      <c r="A50" s="141"/>
      <c r="B50" s="149"/>
      <c r="C50" s="149"/>
      <c r="D50" s="149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</row>
    <row r="51" spans="1:26" ht="18" customHeight="1" x14ac:dyDescent="0.3">
      <c r="A51" s="229" t="s">
        <v>599</v>
      </c>
      <c r="B51" s="229"/>
      <c r="C51" s="229"/>
      <c r="D51" s="229"/>
      <c r="E51" s="229"/>
      <c r="F51" s="150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</row>
    <row r="52" spans="1:26" ht="18" customHeight="1" x14ac:dyDescent="0.3">
      <c r="A52" s="143" t="s">
        <v>521</v>
      </c>
      <c r="B52" s="143" t="s">
        <v>600</v>
      </c>
      <c r="C52" s="143" t="s">
        <v>467</v>
      </c>
      <c r="D52" s="143" t="s">
        <v>469</v>
      </c>
      <c r="E52" s="143" t="s">
        <v>471</v>
      </c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</row>
    <row r="53" spans="1:26" ht="33.75" customHeight="1" x14ac:dyDescent="0.3">
      <c r="A53" s="144" t="s">
        <v>601</v>
      </c>
      <c r="B53" s="145">
        <f>-B5</f>
        <v>-1755250000</v>
      </c>
      <c r="C53" s="145">
        <v>0</v>
      </c>
      <c r="D53" s="145">
        <v>0</v>
      </c>
      <c r="E53" s="156">
        <v>0</v>
      </c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</row>
    <row r="54" spans="1:26" ht="33.75" customHeight="1" x14ac:dyDescent="0.3">
      <c r="A54" s="144" t="s">
        <v>602</v>
      </c>
      <c r="B54" s="145">
        <v>0</v>
      </c>
      <c r="C54" s="145">
        <f>B47+B42</f>
        <v>-414873100</v>
      </c>
      <c r="D54" s="145">
        <f>C47+C42</f>
        <v>1050832401.1440006</v>
      </c>
      <c r="E54" s="156">
        <f>D47+D42</f>
        <v>2757723819.7049103</v>
      </c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</row>
    <row r="55" spans="1:26" ht="18" customHeight="1" x14ac:dyDescent="0.3">
      <c r="A55" s="144" t="s">
        <v>603</v>
      </c>
      <c r="B55" s="145">
        <f>B9</f>
        <v>0</v>
      </c>
      <c r="C55" s="145">
        <v>0</v>
      </c>
      <c r="D55" s="145">
        <v>0</v>
      </c>
      <c r="E55" s="156">
        <v>0</v>
      </c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</row>
    <row r="56" spans="1:26" ht="18" customHeight="1" x14ac:dyDescent="0.3">
      <c r="A56" s="144" t="s">
        <v>604</v>
      </c>
      <c r="B56" s="145">
        <f>B10</f>
        <v>1755250000</v>
      </c>
      <c r="C56" s="145">
        <v>0</v>
      </c>
      <c r="D56" s="145">
        <v>0</v>
      </c>
      <c r="E56" s="156">
        <v>0</v>
      </c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</row>
    <row r="57" spans="1:26" ht="18" customHeight="1" x14ac:dyDescent="0.3">
      <c r="A57" s="144" t="s">
        <v>605</v>
      </c>
      <c r="B57" s="145">
        <v>0</v>
      </c>
      <c r="C57" s="145">
        <f>-B23</f>
        <v>0</v>
      </c>
      <c r="D57" s="145">
        <f>-C23</f>
        <v>0</v>
      </c>
      <c r="E57" s="156">
        <f>-D23</f>
        <v>0</v>
      </c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</row>
    <row r="58" spans="1:26" ht="18" customHeight="1" x14ac:dyDescent="0.3">
      <c r="A58" s="144" t="s">
        <v>278</v>
      </c>
      <c r="B58" s="145">
        <v>0</v>
      </c>
      <c r="C58" s="145">
        <f>-'DIA_Giả Định'!$N$73</f>
        <v>0</v>
      </c>
      <c r="D58" s="145">
        <f>-'DIA_Giả Định'!$O$73</f>
        <v>-100000000</v>
      </c>
      <c r="E58" s="156">
        <f>-'DIA_Giả Định'!$P$73</f>
        <v>-150000000</v>
      </c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</row>
    <row r="59" spans="1:26" ht="18" customHeight="1" x14ac:dyDescent="0.3">
      <c r="A59" s="144" t="s">
        <v>555</v>
      </c>
      <c r="B59" s="145">
        <v>0</v>
      </c>
      <c r="C59" s="145">
        <f>-MAX(0,('DIA_Chi Phí'!$C$42/'DIA_Giả Định'!$N$5*'DIA_Giả Định'!$N$67)-B8)</f>
        <v>0</v>
      </c>
      <c r="D59" s="145">
        <f>-MAX(0,('DIA_Chi Phí'!$E$42/'DIA_Giả Định'!$O$5*'DIA_Giả Định'!$O$67)-('DIA_Chi Phí'!$C$42/'DIA_Giả Định'!$N$5*'DIA_Giả Định'!$N$67))</f>
        <v>-99000000</v>
      </c>
      <c r="E59" s="156">
        <f>-MAX(0,('DIA_Chi Phí'!$G$42/'DIA_Giả Định'!$P$5*'DIA_Giả Định'!$P$67)-('DIA_Chi Phí'!$E$42/'DIA_Giả Định'!$O$5*'DIA_Giả Định'!$O$67))</f>
        <v>-101000000</v>
      </c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</row>
    <row r="60" spans="1:26" ht="33.75" customHeight="1" x14ac:dyDescent="0.3">
      <c r="A60" s="152" t="s">
        <v>606</v>
      </c>
      <c r="B60" s="155">
        <f>SUM(B53:B56)</f>
        <v>0</v>
      </c>
      <c r="C60" s="155">
        <f>SUM(C53:C59)</f>
        <v>-414873100</v>
      </c>
      <c r="D60" s="155">
        <f>SUM(D53:D59)</f>
        <v>851832401.14400065</v>
      </c>
      <c r="E60" s="157">
        <f>SUM(E53:E59)</f>
        <v>2506723819.7049103</v>
      </c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</row>
    <row r="61" spans="1:26" ht="33.75" customHeight="1" x14ac:dyDescent="0.3">
      <c r="A61" s="152" t="s">
        <v>607</v>
      </c>
      <c r="B61" s="155">
        <f>B60</f>
        <v>0</v>
      </c>
      <c r="C61" s="155">
        <f>B61+C60</f>
        <v>-414873100</v>
      </c>
      <c r="D61" s="155">
        <f>C61+D60</f>
        <v>436959301.14400065</v>
      </c>
      <c r="E61" s="157">
        <f>D61+E60</f>
        <v>2943683120.8489108</v>
      </c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</row>
    <row r="62" spans="1:26" ht="33.75" customHeight="1" x14ac:dyDescent="0.3">
      <c r="A62" s="152" t="s">
        <v>608</v>
      </c>
      <c r="B62" s="155">
        <f>-B5</f>
        <v>-1755250000</v>
      </c>
      <c r="C62" s="155">
        <f>B43*(1-'DIA_Giả Định'!$N$59)+B42+C58+C59</f>
        <v>-234018480</v>
      </c>
      <c r="D62" s="155">
        <f>C43*(1-'DIA_Giả Định'!$O$59)+C42+D58+D59</f>
        <v>851832401.14400065</v>
      </c>
      <c r="E62" s="157">
        <f>D43*(1-'DIA_Giả Định'!$P$59)+D42+E58+E59</f>
        <v>2506723819.7049103</v>
      </c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</row>
    <row r="63" spans="1:26" ht="33.75" customHeight="1" x14ac:dyDescent="0.3">
      <c r="A63" s="144" t="s">
        <v>557</v>
      </c>
      <c r="B63" s="145">
        <f>B62</f>
        <v>-1755250000</v>
      </c>
      <c r="C63" s="145">
        <f>C62/POWER(1+'DIA_Giả Định'!$N$60,1)</f>
        <v>-198320745.76271188</v>
      </c>
      <c r="D63" s="145">
        <f>D62/POWER(1+'DIA_Giả Định'!$N$60,2)</f>
        <v>611772767.26802695</v>
      </c>
      <c r="E63" s="156">
        <f>E62/POWER(1+'DIA_Giả Định'!$N$60,3)</f>
        <v>1525669505.9529641</v>
      </c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</row>
    <row r="64" spans="1:26" ht="33.75" customHeight="1" x14ac:dyDescent="0.3">
      <c r="A64" s="144" t="s">
        <v>558</v>
      </c>
      <c r="B64" s="145">
        <f>B62</f>
        <v>-1755250000</v>
      </c>
      <c r="C64" s="145">
        <f t="shared" ref="C64:E65" si="0">B64+C62</f>
        <v>-1989268480</v>
      </c>
      <c r="D64" s="145">
        <f t="shared" si="0"/>
        <v>-1137436078.8559995</v>
      </c>
      <c r="E64" s="156">
        <f t="shared" si="0"/>
        <v>1369287740.8489108</v>
      </c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</row>
    <row r="65" spans="1:26" ht="33.75" customHeight="1" x14ac:dyDescent="0.3">
      <c r="A65" s="144" t="s">
        <v>559</v>
      </c>
      <c r="B65" s="145">
        <f>B63</f>
        <v>-1755250000</v>
      </c>
      <c r="C65" s="145">
        <f t="shared" si="0"/>
        <v>-1953570745.762712</v>
      </c>
      <c r="D65" s="145">
        <f t="shared" si="0"/>
        <v>-1341797978.4946852</v>
      </c>
      <c r="E65" s="156">
        <f t="shared" si="0"/>
        <v>183871527.45827889</v>
      </c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</row>
    <row r="66" spans="1:26" ht="18" customHeight="1" x14ac:dyDescent="0.3">
      <c r="A66" s="141"/>
      <c r="B66" s="149"/>
      <c r="C66" s="149"/>
      <c r="D66" s="149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</row>
    <row r="67" spans="1:26" ht="18" customHeight="1" x14ac:dyDescent="0.3">
      <c r="A67" s="224" t="s">
        <v>609</v>
      </c>
      <c r="B67" s="224"/>
      <c r="C67" s="224"/>
      <c r="D67" s="224"/>
      <c r="E67" s="224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</row>
    <row r="68" spans="1:26" ht="18" customHeight="1" x14ac:dyDescent="0.3">
      <c r="A68" s="228" t="s">
        <v>610</v>
      </c>
      <c r="B68" s="228"/>
      <c r="C68" s="228"/>
      <c r="D68" s="228"/>
      <c r="E68" s="228"/>
      <c r="F68" s="150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</row>
    <row r="69" spans="1:26" ht="18" customHeight="1" x14ac:dyDescent="0.3">
      <c r="A69" s="143" t="s">
        <v>521</v>
      </c>
      <c r="B69" s="143" t="s">
        <v>571</v>
      </c>
      <c r="C69" s="143" t="s">
        <v>611</v>
      </c>
      <c r="D69" s="143" t="s">
        <v>612</v>
      </c>
      <c r="E69" s="143" t="s">
        <v>613</v>
      </c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</row>
    <row r="70" spans="1:26" ht="50.25" customHeight="1" x14ac:dyDescent="0.3">
      <c r="A70" s="158" t="s">
        <v>530</v>
      </c>
      <c r="B70" s="159">
        <f t="array" ref="B70">NPV('DIA_Giả Định'!$N$60,C62:E62)+B62</f>
        <v>183871527.45827913</v>
      </c>
      <c r="C70" s="160" t="s">
        <v>614</v>
      </c>
      <c r="D70" s="161" t="s">
        <v>530</v>
      </c>
      <c r="E70" s="162" t="str">
        <f>IF(B70&gt;0,"CÓ — NPV&gt;0, dự án có hiệu quả tài chính","CHƯA — NPV≤0, cần điều chỉnh giả định")</f>
        <v>CÓ — NPV&gt;0, dự án có hiệu quả tài chính</v>
      </c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</row>
    <row r="71" spans="1:26" ht="50.25" customHeight="1" x14ac:dyDescent="0.3">
      <c r="A71" s="158" t="s">
        <v>531</v>
      </c>
      <c r="B71" s="163">
        <f>IF(E64&lt;0,0,IFERROR(IRR(B62:E62),0))</f>
        <v>0.22137182714400705</v>
      </c>
      <c r="C71" s="160" t="s">
        <v>614</v>
      </c>
      <c r="D71" s="161" t="s">
        <v>531</v>
      </c>
      <c r="E71" s="162" t="str">
        <f>IF(B71&gt;B12,"CÓ — IRR&gt;r, dự án có hiệu quả tài chính","CHƯA — IRR≤r, cần điều chỉnh giả định")</f>
        <v>CÓ — IRR&gt;r, dự án có hiệu quả tài chính</v>
      </c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</row>
    <row r="72" spans="1:26" ht="50.25" customHeight="1" x14ac:dyDescent="0.3">
      <c r="A72" s="144" t="s">
        <v>615</v>
      </c>
      <c r="B72" s="164">
        <f>IF(E64&lt;0,"&gt;3 năm",IF(C64&gt;=0,IFERROR(ABS(B64)/C62,0),IF(D64&gt;=0,1+IFERROR(ABS(C64)/D62,0),2+IFERROR(ABS(D64)/E62,0))))</f>
        <v>2.453754047380416</v>
      </c>
      <c r="C72" s="146" t="s">
        <v>614</v>
      </c>
      <c r="D72" s="165" t="s">
        <v>616</v>
      </c>
      <c r="E72" s="166" t="str">
        <f>IF(B72="&gt;3 năm","CHƯA — Chưa hoàn vốn trong 3 năm","CÓ — Hoàn vốn trong vòng đời dự án")</f>
        <v>CÓ — Hoàn vốn trong vòng đời dự án</v>
      </c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</row>
    <row r="73" spans="1:26" ht="50.25" customHeight="1" x14ac:dyDescent="0.3">
      <c r="A73" s="144" t="s">
        <v>617</v>
      </c>
      <c r="B73" s="146">
        <f>IF(E65&lt;0,"&gt;3 năm",IF(C65&gt;=0,IFERROR(ABS(B65)/C63,0),IF(D65&gt;=0,1+IFERROR(ABS(C65)/D63,0),2+IFERROR(ABS(D65)/E63,0))))</f>
        <v>2.8794814166889777</v>
      </c>
      <c r="C73" s="146" t="s">
        <v>614</v>
      </c>
      <c r="D73" s="165" t="s">
        <v>618</v>
      </c>
      <c r="E73" s="166" t="str">
        <f>IF(E65&lt;0,"CẢNH BÁO — Dòng tiền chiết khấu lũy kế còn âm","TỐT — Dòng tiền chiết khấu lũy kế dương")</f>
        <v>TỐT — Dòng tiền chiết khấu lũy kế dương</v>
      </c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</row>
    <row r="74" spans="1:26" ht="50.25" customHeight="1" x14ac:dyDescent="0.3">
      <c r="A74" s="144" t="s">
        <v>619</v>
      </c>
      <c r="B74" s="147">
        <f>IFERROR(SUM(B47:D47)/B5,0)</f>
        <v>1.6148030883628604</v>
      </c>
      <c r="C74" s="146" t="s">
        <v>614</v>
      </c>
      <c r="D74" s="167"/>
      <c r="E74" s="15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</row>
    <row r="75" spans="1:26" ht="50.25" customHeight="1" x14ac:dyDescent="0.3">
      <c r="A75" s="144" t="s">
        <v>620</v>
      </c>
      <c r="B75" s="147">
        <f>D35</f>
        <v>0.69247309001315183</v>
      </c>
      <c r="C75" s="146" t="s">
        <v>614</v>
      </c>
      <c r="D75" s="167"/>
      <c r="E75" s="15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</row>
    <row r="76" spans="1:26" ht="50.25" customHeight="1" x14ac:dyDescent="0.3">
      <c r="A76" s="144" t="s">
        <v>594</v>
      </c>
      <c r="B76" s="147">
        <f>D41</f>
        <v>0.37913184964619778</v>
      </c>
      <c r="C76" s="146" t="s">
        <v>614</v>
      </c>
      <c r="D76" s="167"/>
      <c r="E76" s="15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</row>
    <row r="77" spans="1:26" ht="50.25" customHeight="1" x14ac:dyDescent="0.3">
      <c r="A77" s="144" t="s">
        <v>621</v>
      </c>
      <c r="B77" s="147">
        <f>D48</f>
        <v>0.3002225128547571</v>
      </c>
      <c r="C77" s="146" t="s">
        <v>614</v>
      </c>
      <c r="D77" s="167"/>
      <c r="E77" s="15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</row>
    <row r="78" spans="1:26" ht="50.25" customHeight="1" x14ac:dyDescent="0.3">
      <c r="A78" s="144" t="s">
        <v>622</v>
      </c>
      <c r="B78" s="145">
        <f>IFERROR(-SUMIF(C60:E60,"&lt;0",C60:E60)/(COUNTIF(C60:E60,"&lt;0")*'DIA_Giả Định'!$N$5),0)</f>
        <v>34572758.333333336</v>
      </c>
      <c r="C78" s="146" t="s">
        <v>614</v>
      </c>
      <c r="D78" s="167"/>
      <c r="E78" s="15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</row>
    <row r="79" spans="1:26" ht="50.25" customHeight="1" x14ac:dyDescent="0.3">
      <c r="A79" s="144" t="s">
        <v>623</v>
      </c>
      <c r="B79" s="168">
        <f>IFERROR(B8/B78,0)</f>
        <v>8.6773521831133422</v>
      </c>
      <c r="C79" s="146" t="s">
        <v>614</v>
      </c>
      <c r="D79" s="167"/>
      <c r="E79" s="15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</row>
    <row r="80" spans="1:26" ht="50.25" customHeight="1" x14ac:dyDescent="0.3">
      <c r="A80" s="144" t="s">
        <v>624</v>
      </c>
      <c r="B80" s="145">
        <f>IFERROR(SUM(D36:D39)/(IFERROR((D29-D33)/D29,0)),0)</f>
        <v>4103769577.4517794</v>
      </c>
      <c r="C80" s="146" t="s">
        <v>614</v>
      </c>
      <c r="D80" s="167"/>
      <c r="E80" s="15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</row>
    <row r="81" spans="1:26" ht="50.25" customHeight="1" x14ac:dyDescent="0.3">
      <c r="A81" s="144" t="s">
        <v>625</v>
      </c>
      <c r="B81" s="169">
        <f>MAX(0,IFERROR((SUM(D36:D39)-(D31-'DIA_Chi Phí'!$F$54-'DIA_Chi Phí'!$F$56))/('DIA_Giá và Doanh Thu'!$H$21*'DIA_Giả Định'!$P$5-'DIA_Giả Định'!$P$23*'DIA_Giả Định'!$P$45*'DIA_Giả Định'!$P$5-('DIA_Giả Định'!$P$46+'DIA_Giả Định'!$P$47+'DIA_Giả Định'!$P$48)*'DIA_Giả Định'!$P$5-'DIA_Giá và Doanh Thu'!$H$21*'DIA_Giả Định'!$P$5*'DIA_Giả Định'!$P$49-'DIA_Giả Định'!$P$50*'DIA_Giả Định'!$P$5-'DIA_Giả Định'!$P$56*'DIA_Giả Định'!$P$57),0))</f>
        <v>0</v>
      </c>
      <c r="C81" s="146" t="s">
        <v>614</v>
      </c>
      <c r="D81" s="167"/>
      <c r="E81" s="15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</row>
    <row r="82" spans="1:26" ht="50.25" customHeight="1" x14ac:dyDescent="0.3">
      <c r="A82" s="144" t="s">
        <v>626</v>
      </c>
      <c r="B82" s="169">
        <f>MAX(0,IFERROR((SUM(D36:D39)-(D30-'DIA_Chi Phí'!$F$50-'DIA_Chi Phí'!$F$52))/(IFERROR((D31-'DIA_Chi Phí'!$F$54-'DIA_Chi Phí'!$F$56)/('DIA_Giá và Doanh Thu'!$I$8+'DIA_Giá và Doanh Thu'!$I$7),0)),0))</f>
        <v>37.483193118901553</v>
      </c>
      <c r="C82" s="146" t="s">
        <v>614</v>
      </c>
      <c r="D82" s="167"/>
      <c r="E82" s="15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</row>
    <row r="83" spans="1:26" ht="18" customHeight="1" x14ac:dyDescent="0.3">
      <c r="A83" s="141"/>
      <c r="B83" s="149"/>
      <c r="C83" s="149"/>
      <c r="D83" s="149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</row>
    <row r="84" spans="1:26" ht="18" customHeight="1" x14ac:dyDescent="0.3">
      <c r="A84" s="141"/>
      <c r="B84" s="149"/>
      <c r="C84" s="149"/>
      <c r="D84" s="149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</row>
    <row r="85" spans="1:26" ht="18" customHeight="1" x14ac:dyDescent="0.3">
      <c r="A85" s="228" t="s">
        <v>627</v>
      </c>
      <c r="B85" s="228"/>
      <c r="C85" s="228"/>
      <c r="D85" s="228"/>
      <c r="E85" s="228"/>
      <c r="F85" s="150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</row>
    <row r="86" spans="1:26" ht="18" customHeight="1" x14ac:dyDescent="0.3">
      <c r="A86" s="143" t="s">
        <v>521</v>
      </c>
      <c r="B86" s="143" t="s">
        <v>467</v>
      </c>
      <c r="C86" s="143" t="s">
        <v>469</v>
      </c>
      <c r="D86" s="143" t="s">
        <v>471</v>
      </c>
      <c r="E86" s="143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</row>
    <row r="87" spans="1:26" ht="18" customHeight="1" x14ac:dyDescent="0.3">
      <c r="A87" s="144" t="s">
        <v>628</v>
      </c>
      <c r="B87" s="145">
        <f>IFERROR('DIA_Chi Phí'!$C$30*'DIA_Giả Định'!$N$72/(('DIA_Giả Định'!$N$6*'DIA_Giả Định'!$N$8)),0)</f>
        <v>44999.999999999993</v>
      </c>
      <c r="C87" s="145">
        <f>IFERROR('DIA_Chi Phí'!$E$30*'DIA_Giả Định'!$O$72/(MAX(0,('DIA_Giả Định'!$O$6*'DIA_Giả Định'!$O$8)-('DIA_Giả Định'!$N$6*'DIA_Giả Định'!$N$8)*POWER(1-'DIA_Giả Định'!$O$17,'DIA_Giả Định'!$O$5))),0)</f>
        <v>20656.587086631647</v>
      </c>
      <c r="D87" s="145">
        <f>IFERROR('DIA_Chi Phí'!$G$30*'DIA_Giả Định'!$P$72/(MAX(0,('DIA_Giả Định'!$P$6*'DIA_Giả Định'!$P$8)-('DIA_Giả Định'!$O$6*'DIA_Giả Định'!$O$8)*POWER(1-'DIA_Giả Định'!$P$17,'DIA_Giả Định'!$P$5))),0)</f>
        <v>0</v>
      </c>
      <c r="E87" s="15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</row>
    <row r="88" spans="1:26" ht="18" customHeight="1" x14ac:dyDescent="0.3">
      <c r="A88" s="144" t="s">
        <v>629</v>
      </c>
      <c r="B88" s="145">
        <f>IFERROR(('DIA_Chi Phí'!$C$29+'DIA_Chi Phí'!$C$30*(1-'DIA_Giả Định'!$N$72)+'DIA_Chi Phí'!$C$40)/'DIA_Giả Định'!$N$29,0)</f>
        <v>26571428.571428571</v>
      </c>
      <c r="C88" s="145">
        <f>IFERROR(('DIA_Chi Phí'!$E$29+'DIA_Chi Phí'!$E$30*(1-'DIA_Giả Định'!$O$72)+'DIA_Chi Phí'!$E$40)/'DIA_Giả Định'!$O$29,0)</f>
        <v>19846153.846153848</v>
      </c>
      <c r="D88" s="145">
        <f>IFERROR(('DIA_Chi Phí'!$G$29+'DIA_Chi Phí'!$G$30*(1-'DIA_Giả Định'!$P$72)+'DIA_Chi Phí'!$G$40)/'DIA_Giả Định'!$P$29,0)</f>
        <v>15120000</v>
      </c>
      <c r="E88" s="15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</row>
    <row r="89" spans="1:26" ht="18" customHeight="1" x14ac:dyDescent="0.3">
      <c r="A89" s="144" t="s">
        <v>630</v>
      </c>
      <c r="B89" s="145">
        <f>'DIA_Giá và Doanh Thu'!$F$21*12*B35</f>
        <v>249317.18898843319</v>
      </c>
      <c r="C89" s="145">
        <f>'DIA_Giá và Doanh Thu'!$G$21*12*C35</f>
        <v>250422.07319900789</v>
      </c>
      <c r="D89" s="145">
        <f>'DIA_Giá và Doanh Thu'!$H$21*12*D35</f>
        <v>371022.70164811594</v>
      </c>
      <c r="E89" s="15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</row>
    <row r="90" spans="1:26" ht="18" customHeight="1" x14ac:dyDescent="0.3">
      <c r="A90" s="144" t="s">
        <v>631</v>
      </c>
      <c r="B90" s="145">
        <f>'DIA_Giá và Doanh Thu'!$F$22*24*B35</f>
        <v>35837464.75117439</v>
      </c>
      <c r="C90" s="145">
        <f>'DIA_Giá và Doanh Thu'!$G$22*24*C35</f>
        <v>37314403.176871859</v>
      </c>
      <c r="D90" s="145">
        <f>'DIA_Giá và Doanh Thu'!$H$22*24*D35</f>
        <v>54587243.363466382</v>
      </c>
      <c r="E90" s="15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</row>
    <row r="91" spans="1:26" ht="18" customHeight="1" x14ac:dyDescent="0.3">
      <c r="A91" s="144" t="s">
        <v>632</v>
      </c>
      <c r="B91" s="170">
        <f t="shared" ref="B91:D92" si="1">IFERROR(B89/B87,0)</f>
        <v>5.5403819775207381</v>
      </c>
      <c r="C91" s="170">
        <f t="shared" si="1"/>
        <v>12.123109792956742</v>
      </c>
      <c r="D91" s="170">
        <f t="shared" si="1"/>
        <v>0</v>
      </c>
      <c r="E91" s="15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</row>
    <row r="92" spans="1:26" ht="18" customHeight="1" x14ac:dyDescent="0.3">
      <c r="A92" s="144" t="s">
        <v>633</v>
      </c>
      <c r="B92" s="170">
        <f t="shared" si="1"/>
        <v>1.3487217917108643</v>
      </c>
      <c r="C92" s="170">
        <f t="shared" si="1"/>
        <v>1.8801831058113725</v>
      </c>
      <c r="D92" s="170">
        <f t="shared" si="1"/>
        <v>3.610267418218676</v>
      </c>
      <c r="E92" s="15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</row>
    <row r="93" spans="1:26" ht="33.75" customHeight="1" x14ac:dyDescent="0.3">
      <c r="A93" s="144" t="s">
        <v>634</v>
      </c>
      <c r="B93" s="145">
        <f>('DIA_Giá và Doanh Thu'!$F$21*'DIA_Giả Định'!$N$5-'DIA_Giả Định'!$N$23*'DIA_Giả Định'!$N$45*'DIA_Giả Định'!$N$5-('DIA_Giả Định'!$N$46+'DIA_Giả Định'!$N$47+'DIA_Giả Định'!$N$48)*'DIA_Giả Định'!$N$5-'DIA_Giá và Doanh Thu'!$F$21*'DIA_Giả Định'!$N$5*'DIA_Giả Định'!$N$49-'DIA_Giả Định'!$N$50*'DIA_Giả Định'!$N$5-'DIA_Giả Định'!$N$56*'DIA_Giả Định'!$N$57)</f>
        <v>324717.49999999988</v>
      </c>
      <c r="C93" s="145">
        <f>('DIA_Giá và Doanh Thu'!$G$21*'DIA_Giả Định'!$O$5-'DIA_Giả Định'!$O$23*'DIA_Giả Định'!$O$45*'DIA_Giả Định'!$O$5-('DIA_Giả Định'!$O$46+'DIA_Giả Định'!$O$47+'DIA_Giả Định'!$O$48)*'DIA_Giả Định'!$O$5-'DIA_Giá và Doanh Thu'!$G$21*'DIA_Giả Định'!$O$5*'DIA_Giả Định'!$O$49-'DIA_Giả Định'!$O$50*'DIA_Giả Định'!$O$5-'DIA_Giả Định'!$O$56*'DIA_Giả Định'!$O$57)</f>
        <v>351719.12150000012</v>
      </c>
      <c r="D93" s="145">
        <f>('DIA_Giá và Doanh Thu'!$H$21*'DIA_Giả Định'!$P$5-'DIA_Giả Định'!$P$23*'DIA_Giả Định'!$P$45*'DIA_Giả Định'!$P$5-('DIA_Giả Định'!$P$46+'DIA_Giả Định'!$P$47+'DIA_Giả Định'!$P$48)*'DIA_Giả Định'!$P$5-'DIA_Giá và Doanh Thu'!$H$21*'DIA_Giả Định'!$P$5*'DIA_Giả Định'!$P$49-'DIA_Giả Định'!$P$50*'DIA_Giả Định'!$P$5-'DIA_Giả Định'!$P$56*'DIA_Giả Định'!$P$57)</f>
        <v>384318.8330002001</v>
      </c>
      <c r="E93" s="15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</row>
    <row r="94" spans="1:26" ht="18" customHeight="1" x14ac:dyDescent="0.3">
      <c r="A94" s="144" t="s">
        <v>635</v>
      </c>
      <c r="B94" s="145">
        <f>IFERROR((B31-'DIA_Chi Phí'!$D$54-'DIA_Chi Phí'!$D$56)/('DIA_Giá và Doanh Thu'!$G$8+'DIA_Giá và Doanh Thu'!$G$7),0)</f>
        <v>23108833.333333332</v>
      </c>
      <c r="C94" s="145">
        <f>IFERROR((C31-'DIA_Chi Phí'!$E$54-'DIA_Chi Phí'!$E$56)/('DIA_Giá và Doanh Thu'!$H$8+'DIA_Giá và Doanh Thu'!$H$7),0)</f>
        <v>25952196.437593985</v>
      </c>
      <c r="D94" s="145">
        <f>IFERROR((D31-'DIA_Chi Phí'!$F$54-'DIA_Chi Phí'!$F$56)/('DIA_Giá và Doanh Thu'!$I$8+'DIA_Giá và Doanh Thu'!$I$7),0)</f>
        <v>28035895.929827746</v>
      </c>
      <c r="E94" s="15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</row>
    <row r="95" spans="1:26" ht="18" customHeight="1" x14ac:dyDescent="0.3">
      <c r="A95" s="144" t="s">
        <v>636</v>
      </c>
      <c r="B95" s="168">
        <f>IFERROR(B87/(B93/'DIA_Giả Định'!$N$5),0)</f>
        <v>1.6629839783812086</v>
      </c>
      <c r="C95" s="168">
        <f>IFERROR(C87/(C93/'DIA_Giả Định'!$O$5),0)</f>
        <v>0.70476419929184797</v>
      </c>
      <c r="D95" s="168">
        <f>IFERROR(D87/(D93/'DIA_Giả Định'!$P$5),0)</f>
        <v>0</v>
      </c>
      <c r="E95" s="15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</row>
    <row r="96" spans="1:26" ht="18" customHeight="1" x14ac:dyDescent="0.3">
      <c r="A96" s="144" t="s">
        <v>637</v>
      </c>
      <c r="B96" s="168">
        <f>IFERROR(B88/(B94/'DIA_Giả Định'!$N$5),0)</f>
        <v>13.798063201970798</v>
      </c>
      <c r="C96" s="168">
        <f>IFERROR(C88/(C94/'DIA_Giả Định'!$O$5),0)</f>
        <v>9.1766354623017516</v>
      </c>
      <c r="D96" s="168">
        <f>IFERROR(D88/(D94/'DIA_Giả Định'!$P$5),0)</f>
        <v>6.4717032925979616</v>
      </c>
      <c r="E96" s="15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</row>
    <row r="97" spans="1:26" ht="18" customHeight="1" x14ac:dyDescent="0.3">
      <c r="A97" s="151"/>
      <c r="B97" s="151"/>
      <c r="C97" s="151"/>
      <c r="D97" s="151"/>
      <c r="E97" s="15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</row>
    <row r="98" spans="1:26" ht="13.5" customHeight="1" x14ac:dyDescent="0.3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</row>
    <row r="99" spans="1:26" ht="13.5" customHeight="1" x14ac:dyDescent="0.3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</row>
    <row r="100" spans="1:26" ht="13.5" customHeight="1" x14ac:dyDescent="0.3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</row>
    <row r="101" spans="1:26" ht="13.5" customHeight="1" x14ac:dyDescent="0.3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</row>
    <row r="102" spans="1:26" ht="13.5" customHeight="1" x14ac:dyDescent="0.3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</row>
    <row r="103" spans="1:26" ht="13.5" customHeight="1" x14ac:dyDescent="0.3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</row>
    <row r="104" spans="1:26" ht="13.5" customHeight="1" x14ac:dyDescent="0.3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</row>
    <row r="105" spans="1:26" ht="13.5" customHeight="1" x14ac:dyDescent="0.3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</row>
    <row r="106" spans="1:26" ht="13.5" customHeight="1" x14ac:dyDescent="0.3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</row>
    <row r="107" spans="1:26" ht="13.5" customHeight="1" x14ac:dyDescent="0.3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</row>
    <row r="108" spans="1:26" ht="13.5" customHeight="1" x14ac:dyDescent="0.3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</row>
    <row r="109" spans="1:26" ht="13.5" customHeight="1" x14ac:dyDescent="0.3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</row>
    <row r="110" spans="1:26" ht="13.5" customHeight="1" x14ac:dyDescent="0.3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</row>
    <row r="111" spans="1:26" ht="13.5" customHeight="1" x14ac:dyDescent="0.3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</row>
    <row r="112" spans="1:26" ht="13.5" customHeight="1" x14ac:dyDescent="0.3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</row>
    <row r="113" spans="1:26" ht="13.5" customHeight="1" x14ac:dyDescent="0.3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</row>
    <row r="114" spans="1:26" ht="13.5" customHeight="1" x14ac:dyDescent="0.3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</row>
    <row r="115" spans="1:26" ht="13.5" customHeight="1" x14ac:dyDescent="0.3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</row>
    <row r="116" spans="1:26" ht="13.5" customHeight="1" x14ac:dyDescent="0.3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</row>
    <row r="117" spans="1:26" ht="13.5" customHeight="1" x14ac:dyDescent="0.3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</row>
    <row r="118" spans="1:26" ht="13.5" customHeight="1" x14ac:dyDescent="0.3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</row>
    <row r="119" spans="1:26" ht="13.5" customHeight="1" x14ac:dyDescent="0.3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</row>
    <row r="120" spans="1:26" ht="13.5" customHeight="1" x14ac:dyDescent="0.3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</row>
    <row r="121" spans="1:26" ht="13.5" customHeight="1" x14ac:dyDescent="0.3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</row>
    <row r="122" spans="1:26" ht="13.5" customHeight="1" x14ac:dyDescent="0.3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</row>
    <row r="123" spans="1:26" ht="13.5" customHeight="1" x14ac:dyDescent="0.3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</row>
    <row r="124" spans="1:26" ht="13.5" customHeight="1" x14ac:dyDescent="0.3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</row>
    <row r="125" spans="1:26" ht="13.5" customHeight="1" x14ac:dyDescent="0.3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</row>
    <row r="126" spans="1:26" ht="13.5" customHeight="1" x14ac:dyDescent="0.3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</row>
    <row r="127" spans="1:26" ht="13.5" customHeight="1" x14ac:dyDescent="0.3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</row>
    <row r="128" spans="1:26" ht="13.5" customHeight="1" x14ac:dyDescent="0.3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</row>
    <row r="129" spans="1:26" ht="13.5" customHeight="1" x14ac:dyDescent="0.3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</row>
    <row r="130" spans="1:26" ht="13.5" customHeight="1" x14ac:dyDescent="0.3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</row>
    <row r="131" spans="1:26" ht="13.5" customHeight="1" x14ac:dyDescent="0.3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</row>
    <row r="132" spans="1:26" ht="13.5" customHeight="1" x14ac:dyDescent="0.3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</row>
    <row r="133" spans="1:26" ht="13.5" customHeight="1" x14ac:dyDescent="0.3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</row>
    <row r="134" spans="1:26" ht="13.5" customHeight="1" x14ac:dyDescent="0.3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</row>
    <row r="135" spans="1:26" ht="13.5" customHeight="1" x14ac:dyDescent="0.3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</row>
    <row r="136" spans="1:26" ht="13.5" customHeight="1" x14ac:dyDescent="0.3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</row>
    <row r="137" spans="1:26" ht="13.5" customHeight="1" x14ac:dyDescent="0.3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</row>
    <row r="138" spans="1:26" ht="13.5" customHeight="1" x14ac:dyDescent="0.3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</row>
    <row r="139" spans="1:26" ht="13.5" customHeight="1" x14ac:dyDescent="0.3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</row>
    <row r="140" spans="1:26" ht="13.5" customHeight="1" x14ac:dyDescent="0.3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</row>
    <row r="141" spans="1:26" ht="13.5" customHeight="1" x14ac:dyDescent="0.3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</row>
    <row r="142" spans="1:26" ht="13.5" customHeight="1" x14ac:dyDescent="0.3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</row>
    <row r="143" spans="1:26" ht="13.5" customHeight="1" x14ac:dyDescent="0.3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</row>
    <row r="144" spans="1:26" ht="13.5" customHeight="1" x14ac:dyDescent="0.3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</row>
    <row r="145" spans="1:26" ht="13.5" customHeight="1" x14ac:dyDescent="0.3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</row>
    <row r="146" spans="1:26" ht="13.5" customHeight="1" x14ac:dyDescent="0.3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</row>
    <row r="147" spans="1:26" ht="13.5" customHeight="1" x14ac:dyDescent="0.3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</row>
    <row r="148" spans="1:26" ht="13.5" customHeight="1" x14ac:dyDescent="0.3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</row>
    <row r="149" spans="1:26" ht="13.5" customHeight="1" x14ac:dyDescent="0.3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</row>
    <row r="150" spans="1:26" ht="13.5" customHeight="1" x14ac:dyDescent="0.3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</row>
    <row r="151" spans="1:26" ht="13.5" customHeight="1" x14ac:dyDescent="0.3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</row>
    <row r="152" spans="1:26" ht="13.5" customHeight="1" x14ac:dyDescent="0.3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</row>
    <row r="153" spans="1:26" ht="13.5" customHeight="1" x14ac:dyDescent="0.3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</row>
    <row r="154" spans="1:26" ht="13.5" customHeight="1" x14ac:dyDescent="0.3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</row>
    <row r="155" spans="1:26" ht="13.5" customHeight="1" x14ac:dyDescent="0.3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</row>
    <row r="156" spans="1:26" ht="13.5" customHeight="1" x14ac:dyDescent="0.3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</row>
    <row r="157" spans="1:26" ht="13.5" customHeight="1" x14ac:dyDescent="0.3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</row>
    <row r="158" spans="1:26" ht="13.5" customHeight="1" x14ac:dyDescent="0.3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</row>
    <row r="159" spans="1:26" ht="13.5" customHeight="1" x14ac:dyDescent="0.3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</row>
    <row r="160" spans="1:26" ht="13.5" customHeight="1" x14ac:dyDescent="0.3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</row>
    <row r="161" spans="1:26" ht="13.5" customHeight="1" x14ac:dyDescent="0.3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</row>
    <row r="162" spans="1:26" ht="13.5" customHeight="1" x14ac:dyDescent="0.3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</row>
    <row r="163" spans="1:26" ht="13.5" customHeight="1" x14ac:dyDescent="0.3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</row>
    <row r="164" spans="1:26" ht="13.5" customHeight="1" x14ac:dyDescent="0.3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</row>
    <row r="165" spans="1:26" ht="13.5" customHeight="1" x14ac:dyDescent="0.3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</row>
    <row r="166" spans="1:26" ht="13.5" customHeight="1" x14ac:dyDescent="0.3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</row>
    <row r="167" spans="1:26" ht="13.5" customHeight="1" x14ac:dyDescent="0.3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</row>
    <row r="168" spans="1:26" ht="13.5" customHeight="1" x14ac:dyDescent="0.3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</row>
    <row r="169" spans="1:26" ht="13.5" customHeight="1" x14ac:dyDescent="0.3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</row>
    <row r="170" spans="1:26" ht="13.5" customHeight="1" x14ac:dyDescent="0.3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</row>
    <row r="171" spans="1:26" ht="13.5" customHeight="1" x14ac:dyDescent="0.3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</row>
    <row r="172" spans="1:26" ht="13.5" customHeight="1" x14ac:dyDescent="0.3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</row>
    <row r="173" spans="1:26" ht="13.5" customHeight="1" x14ac:dyDescent="0.3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</row>
    <row r="174" spans="1:26" ht="13.5" customHeight="1" x14ac:dyDescent="0.3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</row>
    <row r="175" spans="1:26" ht="13.5" customHeight="1" x14ac:dyDescent="0.3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</row>
    <row r="176" spans="1:26" ht="13.5" customHeight="1" x14ac:dyDescent="0.3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</row>
    <row r="177" spans="1:26" ht="13.5" customHeight="1" x14ac:dyDescent="0.3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</row>
    <row r="178" spans="1:26" ht="13.5" customHeight="1" x14ac:dyDescent="0.3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</row>
    <row r="179" spans="1:26" ht="13.5" customHeight="1" x14ac:dyDescent="0.3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</row>
    <row r="180" spans="1:26" ht="13.5" customHeight="1" x14ac:dyDescent="0.3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</row>
    <row r="181" spans="1:26" ht="13.5" customHeight="1" x14ac:dyDescent="0.3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</row>
    <row r="182" spans="1:26" ht="13.5" customHeight="1" x14ac:dyDescent="0.3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</row>
    <row r="183" spans="1:26" ht="13.5" customHeight="1" x14ac:dyDescent="0.3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</row>
    <row r="184" spans="1:26" ht="13.5" customHeight="1" x14ac:dyDescent="0.3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</row>
    <row r="185" spans="1:26" ht="13.5" customHeight="1" x14ac:dyDescent="0.3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</row>
    <row r="186" spans="1:26" ht="13.5" customHeight="1" x14ac:dyDescent="0.3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</row>
    <row r="187" spans="1:26" ht="13.5" customHeight="1" x14ac:dyDescent="0.3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</row>
    <row r="188" spans="1:26" ht="13.5" customHeight="1" x14ac:dyDescent="0.3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</row>
    <row r="189" spans="1:26" ht="13.5" customHeight="1" x14ac:dyDescent="0.3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</row>
    <row r="190" spans="1:26" ht="13.5" customHeight="1" x14ac:dyDescent="0.3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</row>
    <row r="191" spans="1:26" ht="13.5" customHeight="1" x14ac:dyDescent="0.3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</row>
    <row r="192" spans="1:26" ht="13.5" customHeight="1" x14ac:dyDescent="0.3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</row>
    <row r="193" spans="1:26" ht="13.5" customHeight="1" x14ac:dyDescent="0.3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</row>
    <row r="194" spans="1:26" ht="13.5" customHeight="1" x14ac:dyDescent="0.3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</row>
    <row r="195" spans="1:26" ht="13.5" customHeight="1" x14ac:dyDescent="0.3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</row>
    <row r="196" spans="1:26" ht="13.5" customHeight="1" x14ac:dyDescent="0.3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</row>
    <row r="197" spans="1:26" ht="13.5" customHeight="1" x14ac:dyDescent="0.3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</row>
    <row r="198" spans="1:26" ht="13.5" customHeight="1" x14ac:dyDescent="0.3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</row>
    <row r="199" spans="1:26" ht="13.5" customHeight="1" x14ac:dyDescent="0.3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</row>
    <row r="200" spans="1:26" ht="13.5" customHeight="1" x14ac:dyDescent="0.3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</row>
    <row r="201" spans="1:26" ht="13.5" customHeight="1" x14ac:dyDescent="0.3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</row>
    <row r="202" spans="1:26" ht="13.5" customHeight="1" x14ac:dyDescent="0.3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</row>
    <row r="203" spans="1:26" ht="13.5" customHeight="1" x14ac:dyDescent="0.3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</row>
    <row r="204" spans="1:26" ht="13.5" customHeight="1" x14ac:dyDescent="0.3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</row>
    <row r="205" spans="1:26" ht="13.5" customHeight="1" x14ac:dyDescent="0.3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</row>
    <row r="206" spans="1:26" ht="13.5" customHeight="1" x14ac:dyDescent="0.3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</row>
    <row r="207" spans="1:26" ht="13.5" customHeight="1" x14ac:dyDescent="0.3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</row>
    <row r="208" spans="1:26" ht="13.5" customHeight="1" x14ac:dyDescent="0.3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</row>
    <row r="209" spans="1:26" ht="13.5" customHeight="1" x14ac:dyDescent="0.3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</row>
    <row r="210" spans="1:26" ht="13.5" customHeight="1" x14ac:dyDescent="0.3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</row>
    <row r="211" spans="1:26" ht="13.5" customHeight="1" x14ac:dyDescent="0.3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</row>
    <row r="212" spans="1:26" ht="13.5" customHeight="1" x14ac:dyDescent="0.3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</row>
    <row r="213" spans="1:26" ht="13.5" customHeight="1" x14ac:dyDescent="0.3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</row>
    <row r="214" spans="1:26" ht="13.5" customHeight="1" x14ac:dyDescent="0.3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</row>
    <row r="215" spans="1:26" ht="13.5" customHeight="1" x14ac:dyDescent="0.3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</row>
    <row r="216" spans="1:26" ht="13.5" customHeight="1" x14ac:dyDescent="0.3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</row>
    <row r="217" spans="1:26" ht="13.5" customHeight="1" x14ac:dyDescent="0.3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</row>
    <row r="218" spans="1:26" ht="13.5" customHeight="1" x14ac:dyDescent="0.3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</row>
    <row r="219" spans="1:26" ht="13.5" customHeight="1" x14ac:dyDescent="0.3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</row>
    <row r="220" spans="1:26" ht="13.5" customHeight="1" x14ac:dyDescent="0.3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</row>
    <row r="221" spans="1:26" ht="13.5" customHeight="1" x14ac:dyDescent="0.3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</row>
    <row r="222" spans="1:26" ht="13.5" customHeight="1" x14ac:dyDescent="0.3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</row>
    <row r="223" spans="1:26" ht="13.5" customHeight="1" x14ac:dyDescent="0.3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</row>
    <row r="224" spans="1:26" ht="13.5" customHeight="1" x14ac:dyDescent="0.3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</row>
    <row r="225" spans="1:26" ht="13.5" customHeight="1" x14ac:dyDescent="0.3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</row>
    <row r="226" spans="1:26" ht="13.5" customHeight="1" x14ac:dyDescent="0.3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</row>
    <row r="227" spans="1:26" ht="13.5" customHeight="1" x14ac:dyDescent="0.3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</row>
    <row r="228" spans="1:26" ht="13.5" customHeight="1" x14ac:dyDescent="0.3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</row>
    <row r="229" spans="1:26" ht="13.5" customHeight="1" x14ac:dyDescent="0.3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</row>
    <row r="230" spans="1:26" ht="13.5" customHeight="1" x14ac:dyDescent="0.3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</row>
    <row r="231" spans="1:26" ht="13.5" customHeight="1" x14ac:dyDescent="0.3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</row>
    <row r="232" spans="1:26" ht="13.5" customHeight="1" x14ac:dyDescent="0.3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</row>
    <row r="233" spans="1:26" ht="13.5" customHeight="1" x14ac:dyDescent="0.3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</row>
    <row r="234" spans="1:26" ht="13.5" customHeight="1" x14ac:dyDescent="0.3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</row>
    <row r="235" spans="1:26" ht="13.5" customHeight="1" x14ac:dyDescent="0.3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</row>
    <row r="236" spans="1:26" ht="13.5" customHeight="1" x14ac:dyDescent="0.3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</row>
    <row r="237" spans="1:26" ht="13.5" customHeight="1" x14ac:dyDescent="0.3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</row>
    <row r="238" spans="1:26" ht="13.5" customHeight="1" x14ac:dyDescent="0.3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</row>
    <row r="239" spans="1:26" ht="13.5" customHeight="1" x14ac:dyDescent="0.3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</row>
    <row r="240" spans="1:26" ht="13.5" customHeight="1" x14ac:dyDescent="0.3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</row>
    <row r="241" spans="1:26" ht="13.5" customHeight="1" x14ac:dyDescent="0.3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</row>
    <row r="242" spans="1:26" ht="13.5" customHeight="1" x14ac:dyDescent="0.3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</row>
    <row r="243" spans="1:26" ht="13.5" customHeight="1" x14ac:dyDescent="0.3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</row>
    <row r="244" spans="1:26" ht="13.5" customHeight="1" x14ac:dyDescent="0.3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</row>
    <row r="245" spans="1:26" ht="13.5" customHeight="1" x14ac:dyDescent="0.3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</row>
    <row r="246" spans="1:26" ht="13.5" customHeight="1" x14ac:dyDescent="0.3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</row>
    <row r="247" spans="1:26" ht="13.5" customHeight="1" x14ac:dyDescent="0.3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</row>
    <row r="248" spans="1:26" ht="13.5" customHeight="1" x14ac:dyDescent="0.3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</row>
    <row r="249" spans="1:26" ht="13.5" customHeight="1" x14ac:dyDescent="0.3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</row>
    <row r="250" spans="1:26" ht="13.5" customHeight="1" x14ac:dyDescent="0.3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</row>
    <row r="251" spans="1:26" ht="13.5" customHeight="1" x14ac:dyDescent="0.3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</row>
    <row r="252" spans="1:26" ht="13.5" customHeight="1" x14ac:dyDescent="0.3">
      <c r="A252" s="141"/>
      <c r="B252" s="141" t="s">
        <v>714</v>
      </c>
      <c r="C252" s="141">
        <f>C249</f>
        <v>0</v>
      </c>
      <c r="D252" s="141">
        <f>D249+D250</f>
        <v>0</v>
      </c>
      <c r="E252" s="141">
        <f>E249+E250</f>
        <v>0</v>
      </c>
      <c r="F252" s="141">
        <f>F249+F250</f>
        <v>0</v>
      </c>
      <c r="G252" s="194" t="e">
        <f>IRR(C252:F252)</f>
        <v>#NUM!</v>
      </c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</row>
    <row r="253" spans="1:26" ht="13.5" customHeight="1" x14ac:dyDescent="0.3">
      <c r="A253" s="141"/>
      <c r="B253" s="141" t="s">
        <v>715</v>
      </c>
      <c r="C253" s="141"/>
      <c r="D253" s="141"/>
      <c r="E253" s="141"/>
      <c r="F253" s="141">
        <f>MAX(0, F238 * 8)</f>
        <v>0</v>
      </c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</row>
    <row r="254" spans="1:26" ht="13.5" customHeight="1" x14ac:dyDescent="0.3">
      <c r="A254" s="141"/>
      <c r="B254" s="141" t="s">
        <v>716</v>
      </c>
      <c r="C254" s="141">
        <f>C249+C250</f>
        <v>0</v>
      </c>
      <c r="D254" s="141">
        <f>D249+D250</f>
        <v>0</v>
      </c>
      <c r="E254" s="141">
        <f>E249+E250</f>
        <v>0</v>
      </c>
      <c r="F254" s="141">
        <f>F249+F250+F253</f>
        <v>0</v>
      </c>
      <c r="G254" s="194" t="e">
        <f>IRR(C254:F254, 0.1)</f>
        <v>#NUM!</v>
      </c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</row>
    <row r="255" spans="1:26" ht="13.5" customHeight="1" x14ac:dyDescent="0.3">
      <c r="A255" s="141"/>
      <c r="B255" s="141" t="s">
        <v>717</v>
      </c>
      <c r="C255" s="141">
        <f>C254</f>
        <v>0</v>
      </c>
      <c r="D255" s="141">
        <f>C255+D254</f>
        <v>0</v>
      </c>
      <c r="E255" s="141">
        <f>D255+E254</f>
        <v>0</v>
      </c>
      <c r="F255" s="141">
        <f>E255+F254</f>
        <v>0</v>
      </c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</row>
    <row r="256" spans="1:26" ht="13.5" customHeight="1" x14ac:dyDescent="0.3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</row>
    <row r="257" spans="1:26" ht="13.5" customHeight="1" x14ac:dyDescent="0.3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</row>
    <row r="258" spans="1:26" ht="13.5" customHeight="1" x14ac:dyDescent="0.3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</row>
    <row r="259" spans="1:26" ht="13.5" customHeight="1" x14ac:dyDescent="0.3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</row>
    <row r="260" spans="1:26" ht="13.5" customHeight="1" x14ac:dyDescent="0.3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</row>
    <row r="261" spans="1:26" ht="13.5" customHeight="1" x14ac:dyDescent="0.3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</row>
    <row r="262" spans="1:26" ht="13.5" customHeight="1" x14ac:dyDescent="0.3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</row>
    <row r="263" spans="1:26" ht="13.5" customHeight="1" x14ac:dyDescent="0.3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</row>
    <row r="264" spans="1:26" ht="13.5" customHeight="1" x14ac:dyDescent="0.3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</row>
    <row r="265" spans="1:26" ht="13.5" customHeight="1" x14ac:dyDescent="0.3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</row>
    <row r="266" spans="1:26" ht="13.5" customHeight="1" x14ac:dyDescent="0.3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</row>
    <row r="267" spans="1:26" ht="13.5" customHeight="1" x14ac:dyDescent="0.3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</row>
    <row r="268" spans="1:26" ht="13.5" customHeight="1" x14ac:dyDescent="0.3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</row>
    <row r="269" spans="1:26" ht="13.5" customHeight="1" x14ac:dyDescent="0.3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</row>
    <row r="270" spans="1:26" ht="13.5" customHeight="1" x14ac:dyDescent="0.3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</row>
    <row r="271" spans="1:26" ht="13.5" customHeight="1" x14ac:dyDescent="0.3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</row>
    <row r="272" spans="1:26" ht="13.5" customHeight="1" x14ac:dyDescent="0.3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</row>
    <row r="273" spans="1:26" ht="13.5" customHeight="1" x14ac:dyDescent="0.3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</row>
    <row r="274" spans="1:26" ht="13.5" customHeight="1" x14ac:dyDescent="0.3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</row>
    <row r="275" spans="1:26" ht="13.5" customHeight="1" x14ac:dyDescent="0.3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</row>
    <row r="276" spans="1:26" ht="13.5" customHeight="1" x14ac:dyDescent="0.3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</row>
    <row r="277" spans="1:26" ht="13.5" customHeight="1" x14ac:dyDescent="0.3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</row>
    <row r="278" spans="1:26" ht="13.5" customHeight="1" x14ac:dyDescent="0.3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</row>
    <row r="279" spans="1:26" ht="13.5" customHeight="1" x14ac:dyDescent="0.3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</row>
    <row r="280" spans="1:26" ht="13.5" customHeight="1" x14ac:dyDescent="0.3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</row>
    <row r="281" spans="1:26" ht="13.5" customHeight="1" x14ac:dyDescent="0.3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</row>
    <row r="282" spans="1:26" ht="13.5" customHeight="1" x14ac:dyDescent="0.3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</row>
    <row r="283" spans="1:26" ht="13.5" customHeight="1" x14ac:dyDescent="0.3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</row>
    <row r="284" spans="1:26" ht="13.5" customHeight="1" x14ac:dyDescent="0.3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</row>
    <row r="285" spans="1:26" ht="13.5" customHeight="1" x14ac:dyDescent="0.3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</row>
    <row r="286" spans="1:26" ht="13.5" customHeight="1" x14ac:dyDescent="0.3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</row>
    <row r="287" spans="1:26" ht="13.5" customHeight="1" x14ac:dyDescent="0.3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</row>
    <row r="288" spans="1:26" ht="13.5" customHeight="1" x14ac:dyDescent="0.3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</row>
    <row r="289" spans="1:26" ht="13.5" customHeight="1" x14ac:dyDescent="0.3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</row>
    <row r="290" spans="1:26" ht="13.5" customHeight="1" x14ac:dyDescent="0.3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</row>
    <row r="291" spans="1:26" ht="13.5" customHeight="1" x14ac:dyDescent="0.3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</row>
    <row r="292" spans="1:26" ht="13.5" customHeight="1" x14ac:dyDescent="0.3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</row>
    <row r="293" spans="1:26" ht="13.5" customHeight="1" x14ac:dyDescent="0.3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</row>
    <row r="294" spans="1:26" ht="13.5" customHeight="1" x14ac:dyDescent="0.3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</row>
    <row r="295" spans="1:26" ht="13.5" customHeight="1" x14ac:dyDescent="0.3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</row>
    <row r="296" spans="1:26" ht="13.5" customHeight="1" x14ac:dyDescent="0.3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</row>
    <row r="297" spans="1:26" ht="13.5" customHeight="1" x14ac:dyDescent="0.3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</row>
    <row r="298" spans="1:26" ht="13.5" customHeight="1" x14ac:dyDescent="0.3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</row>
    <row r="299" spans="1:26" ht="13.5" customHeight="1" x14ac:dyDescent="0.3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</row>
    <row r="300" spans="1:26" ht="13.5" customHeight="1" x14ac:dyDescent="0.3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</row>
    <row r="301" spans="1:26" ht="13.5" customHeight="1" x14ac:dyDescent="0.3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</row>
    <row r="302" spans="1:26" ht="13.5" customHeight="1" x14ac:dyDescent="0.3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</row>
    <row r="303" spans="1:26" ht="13.5" customHeight="1" x14ac:dyDescent="0.3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</row>
    <row r="304" spans="1:26" ht="13.5" customHeight="1" x14ac:dyDescent="0.3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</row>
    <row r="305" spans="1:26" ht="13.5" customHeight="1" x14ac:dyDescent="0.3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</row>
    <row r="306" spans="1:26" ht="13.5" customHeight="1" x14ac:dyDescent="0.3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</row>
    <row r="307" spans="1:26" ht="13.5" customHeight="1" x14ac:dyDescent="0.3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</row>
    <row r="308" spans="1:26" ht="13.5" customHeight="1" x14ac:dyDescent="0.3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</row>
    <row r="309" spans="1:26" ht="13.5" customHeight="1" x14ac:dyDescent="0.3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</row>
    <row r="310" spans="1:26" ht="13.5" customHeight="1" x14ac:dyDescent="0.3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</row>
    <row r="311" spans="1:26" ht="13.5" customHeight="1" x14ac:dyDescent="0.3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</row>
    <row r="312" spans="1:26" ht="13.5" customHeight="1" x14ac:dyDescent="0.3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</row>
    <row r="313" spans="1:26" ht="13.5" customHeight="1" x14ac:dyDescent="0.3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</row>
    <row r="314" spans="1:26" ht="13.5" customHeight="1" x14ac:dyDescent="0.3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</row>
    <row r="315" spans="1:26" ht="13.5" customHeight="1" x14ac:dyDescent="0.3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</row>
    <row r="316" spans="1:26" ht="13.5" customHeight="1" x14ac:dyDescent="0.3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</row>
    <row r="317" spans="1:26" ht="13.5" customHeight="1" x14ac:dyDescent="0.3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</row>
    <row r="318" spans="1:26" ht="13.5" customHeight="1" x14ac:dyDescent="0.3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</row>
    <row r="319" spans="1:26" ht="13.5" customHeight="1" x14ac:dyDescent="0.3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</row>
    <row r="320" spans="1:26" ht="13.5" customHeight="1" x14ac:dyDescent="0.3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</row>
    <row r="321" spans="1:26" ht="13.5" customHeight="1" x14ac:dyDescent="0.3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</row>
    <row r="322" spans="1:26" ht="13.5" customHeight="1" x14ac:dyDescent="0.3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</row>
    <row r="323" spans="1:26" ht="13.5" customHeight="1" x14ac:dyDescent="0.3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</row>
    <row r="324" spans="1:26" ht="13.5" customHeight="1" x14ac:dyDescent="0.3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</row>
    <row r="325" spans="1:26" ht="13.5" customHeight="1" x14ac:dyDescent="0.3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</row>
    <row r="326" spans="1:26" ht="13.5" customHeight="1" x14ac:dyDescent="0.3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</row>
    <row r="327" spans="1:26" ht="13.5" customHeight="1" x14ac:dyDescent="0.3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</row>
    <row r="328" spans="1:26" ht="13.5" customHeight="1" x14ac:dyDescent="0.3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</row>
    <row r="329" spans="1:26" ht="13.5" customHeight="1" x14ac:dyDescent="0.3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</row>
    <row r="330" spans="1:26" ht="13.5" customHeight="1" x14ac:dyDescent="0.3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</row>
    <row r="331" spans="1:26" ht="13.5" customHeight="1" x14ac:dyDescent="0.3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</row>
    <row r="332" spans="1:26" ht="13.5" customHeight="1" x14ac:dyDescent="0.3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</row>
    <row r="333" spans="1:26" ht="13.5" customHeight="1" x14ac:dyDescent="0.3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</row>
    <row r="334" spans="1:26" ht="13.5" customHeight="1" x14ac:dyDescent="0.3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</row>
    <row r="335" spans="1:26" ht="13.5" customHeight="1" x14ac:dyDescent="0.3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</row>
    <row r="336" spans="1:26" ht="13.5" customHeight="1" x14ac:dyDescent="0.3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</row>
    <row r="337" spans="1:26" ht="13.5" customHeight="1" x14ac:dyDescent="0.3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</row>
    <row r="338" spans="1:26" ht="13.5" customHeight="1" x14ac:dyDescent="0.3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</row>
    <row r="339" spans="1:26" ht="13.5" customHeight="1" x14ac:dyDescent="0.3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</row>
    <row r="340" spans="1:26" ht="13.5" customHeight="1" x14ac:dyDescent="0.3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</row>
    <row r="341" spans="1:26" ht="13.5" customHeight="1" x14ac:dyDescent="0.3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</row>
    <row r="342" spans="1:26" ht="13.5" customHeight="1" x14ac:dyDescent="0.3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</row>
    <row r="343" spans="1:26" ht="13.5" customHeight="1" x14ac:dyDescent="0.3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</row>
    <row r="344" spans="1:26" ht="13.5" customHeight="1" x14ac:dyDescent="0.3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</row>
    <row r="345" spans="1:26" ht="13.5" customHeight="1" x14ac:dyDescent="0.3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</row>
    <row r="346" spans="1:26" ht="13.5" customHeight="1" x14ac:dyDescent="0.3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</row>
    <row r="347" spans="1:26" ht="13.5" customHeight="1" x14ac:dyDescent="0.3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</row>
    <row r="348" spans="1:26" ht="13.5" customHeight="1" x14ac:dyDescent="0.3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</row>
    <row r="349" spans="1:26" ht="13.5" customHeight="1" x14ac:dyDescent="0.3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</row>
    <row r="350" spans="1:26" ht="13.5" customHeight="1" x14ac:dyDescent="0.3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</row>
    <row r="351" spans="1:26" ht="13.5" customHeight="1" x14ac:dyDescent="0.3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</row>
    <row r="352" spans="1:26" ht="13.5" customHeight="1" x14ac:dyDescent="0.3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</row>
    <row r="353" spans="1:26" ht="13.5" customHeight="1" x14ac:dyDescent="0.3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</row>
    <row r="354" spans="1:26" ht="13.5" customHeight="1" x14ac:dyDescent="0.3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</row>
    <row r="355" spans="1:26" ht="13.5" customHeight="1" x14ac:dyDescent="0.3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</row>
    <row r="356" spans="1:26" ht="13.5" customHeight="1" x14ac:dyDescent="0.3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</row>
    <row r="357" spans="1:26" ht="13.5" customHeight="1" x14ac:dyDescent="0.3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</row>
    <row r="358" spans="1:26" ht="13.5" customHeight="1" x14ac:dyDescent="0.3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</row>
    <row r="359" spans="1:26" ht="13.5" customHeight="1" x14ac:dyDescent="0.3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</row>
    <row r="360" spans="1:26" ht="13.5" customHeight="1" x14ac:dyDescent="0.3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</row>
    <row r="361" spans="1:26" ht="13.5" customHeight="1" x14ac:dyDescent="0.3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</row>
    <row r="362" spans="1:26" ht="13.5" customHeight="1" x14ac:dyDescent="0.3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</row>
    <row r="363" spans="1:26" ht="13.5" customHeight="1" x14ac:dyDescent="0.3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</row>
    <row r="364" spans="1:26" ht="13.5" customHeight="1" x14ac:dyDescent="0.3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</row>
    <row r="365" spans="1:26" ht="13.5" customHeight="1" x14ac:dyDescent="0.3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</row>
    <row r="366" spans="1:26" ht="13.5" customHeight="1" x14ac:dyDescent="0.3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</row>
    <row r="367" spans="1:26" ht="13.5" customHeight="1" x14ac:dyDescent="0.3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</row>
    <row r="368" spans="1:26" ht="13.5" customHeight="1" x14ac:dyDescent="0.3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</row>
    <row r="369" spans="1:26" ht="13.5" customHeight="1" x14ac:dyDescent="0.3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</row>
    <row r="370" spans="1:26" ht="13.5" customHeight="1" x14ac:dyDescent="0.3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</row>
    <row r="371" spans="1:26" ht="13.5" customHeight="1" x14ac:dyDescent="0.3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</row>
    <row r="372" spans="1:26" ht="13.5" customHeight="1" x14ac:dyDescent="0.3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</row>
    <row r="373" spans="1:26" ht="13.5" customHeight="1" x14ac:dyDescent="0.3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</row>
    <row r="374" spans="1:26" ht="13.5" customHeight="1" x14ac:dyDescent="0.3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</row>
    <row r="375" spans="1:26" ht="13.5" customHeight="1" x14ac:dyDescent="0.3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</row>
    <row r="376" spans="1:26" ht="13.5" customHeight="1" x14ac:dyDescent="0.3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</row>
    <row r="377" spans="1:26" ht="13.5" customHeight="1" x14ac:dyDescent="0.3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</row>
    <row r="378" spans="1:26" ht="13.5" customHeight="1" x14ac:dyDescent="0.3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</row>
    <row r="379" spans="1:26" ht="13.5" customHeight="1" x14ac:dyDescent="0.3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</row>
    <row r="380" spans="1:26" ht="13.5" customHeight="1" x14ac:dyDescent="0.3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</row>
    <row r="381" spans="1:26" ht="13.5" customHeight="1" x14ac:dyDescent="0.3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</row>
    <row r="382" spans="1:26" ht="13.5" customHeight="1" x14ac:dyDescent="0.3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</row>
    <row r="383" spans="1:26" ht="13.5" customHeight="1" x14ac:dyDescent="0.3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</row>
    <row r="384" spans="1:26" ht="13.5" customHeight="1" x14ac:dyDescent="0.3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</row>
    <row r="385" spans="1:26" ht="13.5" customHeight="1" x14ac:dyDescent="0.3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</row>
    <row r="386" spans="1:26" ht="13.5" customHeight="1" x14ac:dyDescent="0.3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</row>
    <row r="387" spans="1:26" ht="13.5" customHeight="1" x14ac:dyDescent="0.3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</row>
    <row r="388" spans="1:26" ht="13.5" customHeight="1" x14ac:dyDescent="0.3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</row>
    <row r="389" spans="1:26" ht="13.5" customHeight="1" x14ac:dyDescent="0.3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</row>
    <row r="390" spans="1:26" ht="13.5" customHeight="1" x14ac:dyDescent="0.3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</row>
    <row r="391" spans="1:26" ht="13.5" customHeight="1" x14ac:dyDescent="0.3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</row>
    <row r="392" spans="1:26" ht="13.5" customHeight="1" x14ac:dyDescent="0.3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</row>
    <row r="393" spans="1:26" ht="13.5" customHeight="1" x14ac:dyDescent="0.3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</row>
    <row r="394" spans="1:26" ht="13.5" customHeight="1" x14ac:dyDescent="0.3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</row>
    <row r="395" spans="1:26" ht="13.5" customHeight="1" x14ac:dyDescent="0.3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</row>
    <row r="396" spans="1:26" ht="13.5" customHeight="1" x14ac:dyDescent="0.3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</row>
    <row r="397" spans="1:26" ht="13.5" customHeight="1" x14ac:dyDescent="0.3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</row>
    <row r="398" spans="1:26" ht="13.5" customHeight="1" x14ac:dyDescent="0.3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</row>
    <row r="399" spans="1:26" ht="13.5" customHeight="1" x14ac:dyDescent="0.3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</row>
    <row r="400" spans="1:26" ht="13.5" customHeight="1" x14ac:dyDescent="0.3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</row>
    <row r="401" spans="1:26" ht="13.5" customHeight="1" x14ac:dyDescent="0.3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</row>
    <row r="402" spans="1:26" ht="13.5" customHeight="1" x14ac:dyDescent="0.3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</row>
    <row r="403" spans="1:26" ht="13.5" customHeight="1" x14ac:dyDescent="0.3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</row>
    <row r="404" spans="1:26" ht="13.5" customHeight="1" x14ac:dyDescent="0.3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</row>
    <row r="405" spans="1:26" ht="13.5" customHeight="1" x14ac:dyDescent="0.3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</row>
    <row r="406" spans="1:26" ht="13.5" customHeight="1" x14ac:dyDescent="0.3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</row>
    <row r="407" spans="1:26" ht="13.5" customHeight="1" x14ac:dyDescent="0.3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</row>
    <row r="408" spans="1:26" ht="13.5" customHeight="1" x14ac:dyDescent="0.3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</row>
    <row r="409" spans="1:26" ht="13.5" customHeight="1" x14ac:dyDescent="0.3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</row>
    <row r="410" spans="1:26" ht="13.5" customHeight="1" x14ac:dyDescent="0.3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</row>
    <row r="411" spans="1:26" ht="13.5" customHeight="1" x14ac:dyDescent="0.3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</row>
    <row r="412" spans="1:26" ht="13.5" customHeight="1" x14ac:dyDescent="0.3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</row>
    <row r="413" spans="1:26" ht="13.5" customHeight="1" x14ac:dyDescent="0.3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</row>
    <row r="414" spans="1:26" ht="13.5" customHeight="1" x14ac:dyDescent="0.3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</row>
    <row r="415" spans="1:26" ht="13.5" customHeight="1" x14ac:dyDescent="0.3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</row>
    <row r="416" spans="1:26" ht="13.5" customHeight="1" x14ac:dyDescent="0.3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</row>
    <row r="417" spans="1:26" ht="13.5" customHeight="1" x14ac:dyDescent="0.3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</row>
    <row r="418" spans="1:26" ht="13.5" customHeight="1" x14ac:dyDescent="0.3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</row>
    <row r="419" spans="1:26" ht="13.5" customHeight="1" x14ac:dyDescent="0.3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</row>
    <row r="420" spans="1:26" ht="13.5" customHeight="1" x14ac:dyDescent="0.3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</row>
    <row r="421" spans="1:26" ht="13.5" customHeight="1" x14ac:dyDescent="0.3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</row>
    <row r="422" spans="1:26" ht="13.5" customHeight="1" x14ac:dyDescent="0.3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</row>
    <row r="423" spans="1:26" ht="13.5" customHeight="1" x14ac:dyDescent="0.3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</row>
    <row r="424" spans="1:26" ht="13.5" customHeight="1" x14ac:dyDescent="0.3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</row>
    <row r="425" spans="1:26" ht="13.5" customHeight="1" x14ac:dyDescent="0.3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</row>
    <row r="426" spans="1:26" ht="13.5" customHeight="1" x14ac:dyDescent="0.3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</row>
    <row r="427" spans="1:26" ht="13.5" customHeight="1" x14ac:dyDescent="0.3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</row>
    <row r="428" spans="1:26" ht="13.5" customHeight="1" x14ac:dyDescent="0.3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</row>
    <row r="429" spans="1:26" ht="13.5" customHeight="1" x14ac:dyDescent="0.3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</row>
    <row r="430" spans="1:26" ht="13.5" customHeight="1" x14ac:dyDescent="0.3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</row>
    <row r="431" spans="1:26" ht="13.5" customHeight="1" x14ac:dyDescent="0.3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</row>
    <row r="432" spans="1:26" ht="13.5" customHeight="1" x14ac:dyDescent="0.3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</row>
    <row r="433" spans="1:26" ht="13.5" customHeight="1" x14ac:dyDescent="0.3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</row>
    <row r="434" spans="1:26" ht="13.5" customHeight="1" x14ac:dyDescent="0.3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</row>
    <row r="435" spans="1:26" ht="13.5" customHeight="1" x14ac:dyDescent="0.3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</row>
    <row r="436" spans="1:26" ht="13.5" customHeight="1" x14ac:dyDescent="0.3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</row>
    <row r="437" spans="1:26" ht="13.5" customHeight="1" x14ac:dyDescent="0.3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</row>
    <row r="438" spans="1:26" ht="13.5" customHeight="1" x14ac:dyDescent="0.3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</row>
    <row r="439" spans="1:26" ht="13.5" customHeight="1" x14ac:dyDescent="0.3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</row>
    <row r="440" spans="1:26" ht="13.5" customHeight="1" x14ac:dyDescent="0.3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</row>
    <row r="441" spans="1:26" ht="13.5" customHeight="1" x14ac:dyDescent="0.3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</row>
    <row r="442" spans="1:26" ht="13.5" customHeight="1" x14ac:dyDescent="0.3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</row>
    <row r="443" spans="1:26" ht="13.5" customHeight="1" x14ac:dyDescent="0.3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</row>
    <row r="444" spans="1:26" ht="13.5" customHeight="1" x14ac:dyDescent="0.3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</row>
    <row r="445" spans="1:26" ht="13.5" customHeight="1" x14ac:dyDescent="0.3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</row>
    <row r="446" spans="1:26" ht="13.5" customHeight="1" x14ac:dyDescent="0.3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</row>
    <row r="447" spans="1:26" ht="13.5" customHeight="1" x14ac:dyDescent="0.3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</row>
    <row r="448" spans="1:26" ht="13.5" customHeight="1" x14ac:dyDescent="0.3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</row>
    <row r="449" spans="1:26" ht="13.5" customHeight="1" x14ac:dyDescent="0.3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</row>
    <row r="450" spans="1:26" ht="13.5" customHeight="1" x14ac:dyDescent="0.3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</row>
    <row r="451" spans="1:26" ht="13.5" customHeight="1" x14ac:dyDescent="0.3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</row>
    <row r="452" spans="1:26" ht="13.5" customHeight="1" x14ac:dyDescent="0.3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</row>
    <row r="453" spans="1:26" ht="13.5" customHeight="1" x14ac:dyDescent="0.3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</row>
    <row r="454" spans="1:26" ht="13.5" customHeight="1" x14ac:dyDescent="0.3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</row>
    <row r="455" spans="1:26" ht="13.5" customHeight="1" x14ac:dyDescent="0.3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</row>
    <row r="456" spans="1:26" ht="13.5" customHeight="1" x14ac:dyDescent="0.3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</row>
    <row r="457" spans="1:26" ht="13.5" customHeight="1" x14ac:dyDescent="0.3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</row>
    <row r="458" spans="1:26" ht="13.5" customHeight="1" x14ac:dyDescent="0.3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</row>
    <row r="459" spans="1:26" ht="13.5" customHeight="1" x14ac:dyDescent="0.3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</row>
    <row r="460" spans="1:26" ht="13.5" customHeight="1" x14ac:dyDescent="0.3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</row>
    <row r="461" spans="1:26" ht="13.5" customHeight="1" x14ac:dyDescent="0.3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</row>
    <row r="462" spans="1:26" ht="13.5" customHeight="1" x14ac:dyDescent="0.3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</row>
    <row r="463" spans="1:26" ht="13.5" customHeight="1" x14ac:dyDescent="0.3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</row>
    <row r="464" spans="1:26" ht="13.5" customHeight="1" x14ac:dyDescent="0.3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</row>
    <row r="465" spans="1:26" ht="13.5" customHeight="1" x14ac:dyDescent="0.3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</row>
    <row r="466" spans="1:26" ht="13.5" customHeight="1" x14ac:dyDescent="0.3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</row>
    <row r="467" spans="1:26" ht="13.5" customHeight="1" x14ac:dyDescent="0.3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</row>
    <row r="468" spans="1:26" ht="13.5" customHeight="1" x14ac:dyDescent="0.3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</row>
    <row r="469" spans="1:26" ht="13.5" customHeight="1" x14ac:dyDescent="0.3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</row>
    <row r="470" spans="1:26" ht="13.5" customHeight="1" x14ac:dyDescent="0.3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</row>
    <row r="471" spans="1:26" ht="13.5" customHeight="1" x14ac:dyDescent="0.3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</row>
    <row r="472" spans="1:26" ht="13.5" customHeight="1" x14ac:dyDescent="0.3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</row>
    <row r="473" spans="1:26" ht="13.5" customHeight="1" x14ac:dyDescent="0.3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</row>
    <row r="474" spans="1:26" ht="13.5" customHeight="1" x14ac:dyDescent="0.3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</row>
    <row r="475" spans="1:26" ht="13.5" customHeight="1" x14ac:dyDescent="0.3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</row>
    <row r="476" spans="1:26" ht="13.5" customHeight="1" x14ac:dyDescent="0.3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</row>
    <row r="477" spans="1:26" ht="13.5" customHeight="1" x14ac:dyDescent="0.3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</row>
    <row r="478" spans="1:26" ht="13.5" customHeight="1" x14ac:dyDescent="0.3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</row>
    <row r="479" spans="1:26" ht="13.5" customHeight="1" x14ac:dyDescent="0.3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</row>
    <row r="480" spans="1:26" ht="13.5" customHeight="1" x14ac:dyDescent="0.3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</row>
    <row r="481" spans="1:26" ht="13.5" customHeight="1" x14ac:dyDescent="0.3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</row>
    <row r="482" spans="1:26" ht="13.5" customHeight="1" x14ac:dyDescent="0.3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</row>
    <row r="483" spans="1:26" ht="13.5" customHeight="1" x14ac:dyDescent="0.3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</row>
    <row r="484" spans="1:26" ht="13.5" customHeight="1" x14ac:dyDescent="0.3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</row>
    <row r="485" spans="1:26" ht="13.5" customHeight="1" x14ac:dyDescent="0.3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</row>
    <row r="486" spans="1:26" ht="13.5" customHeight="1" x14ac:dyDescent="0.3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</row>
    <row r="487" spans="1:26" ht="13.5" customHeight="1" x14ac:dyDescent="0.3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</row>
    <row r="488" spans="1:26" ht="13.5" customHeight="1" x14ac:dyDescent="0.3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</row>
    <row r="489" spans="1:26" ht="13.5" customHeight="1" x14ac:dyDescent="0.3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</row>
    <row r="490" spans="1:26" ht="13.5" customHeight="1" x14ac:dyDescent="0.3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</row>
    <row r="491" spans="1:26" ht="13.5" customHeight="1" x14ac:dyDescent="0.3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</row>
    <row r="492" spans="1:26" ht="13.5" customHeight="1" x14ac:dyDescent="0.3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</row>
    <row r="493" spans="1:26" ht="13.5" customHeight="1" x14ac:dyDescent="0.3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</row>
    <row r="494" spans="1:26" ht="13.5" customHeight="1" x14ac:dyDescent="0.3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</row>
    <row r="495" spans="1:26" ht="13.5" customHeight="1" x14ac:dyDescent="0.3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</row>
    <row r="496" spans="1:26" ht="13.5" customHeight="1" x14ac:dyDescent="0.3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</row>
    <row r="497" spans="1:26" ht="13.5" customHeight="1" x14ac:dyDescent="0.3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</row>
    <row r="498" spans="1:26" ht="13.5" customHeight="1" x14ac:dyDescent="0.3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</row>
    <row r="499" spans="1:26" ht="13.5" customHeight="1" x14ac:dyDescent="0.3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</row>
    <row r="500" spans="1:26" ht="13.5" customHeight="1" x14ac:dyDescent="0.3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</row>
    <row r="501" spans="1:26" ht="13.5" customHeight="1" x14ac:dyDescent="0.3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</row>
    <row r="502" spans="1:26" ht="13.5" customHeight="1" x14ac:dyDescent="0.3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</row>
    <row r="503" spans="1:26" ht="13.5" customHeight="1" x14ac:dyDescent="0.3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</row>
    <row r="504" spans="1:26" ht="13.5" customHeight="1" x14ac:dyDescent="0.3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</row>
    <row r="505" spans="1:26" ht="13.5" customHeight="1" x14ac:dyDescent="0.3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</row>
    <row r="506" spans="1:26" ht="13.5" customHeight="1" x14ac:dyDescent="0.3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</row>
    <row r="507" spans="1:26" ht="13.5" customHeight="1" x14ac:dyDescent="0.3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</row>
    <row r="508" spans="1:26" ht="13.5" customHeight="1" x14ac:dyDescent="0.3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</row>
    <row r="509" spans="1:26" ht="13.5" customHeight="1" x14ac:dyDescent="0.3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</row>
    <row r="510" spans="1:26" ht="13.5" customHeight="1" x14ac:dyDescent="0.3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</row>
    <row r="511" spans="1:26" ht="13.5" customHeight="1" x14ac:dyDescent="0.3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</row>
    <row r="512" spans="1:26" ht="13.5" customHeight="1" x14ac:dyDescent="0.3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</row>
    <row r="513" spans="1:26" ht="13.5" customHeight="1" x14ac:dyDescent="0.3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</row>
    <row r="514" spans="1:26" ht="13.5" customHeight="1" x14ac:dyDescent="0.3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</row>
    <row r="515" spans="1:26" ht="13.5" customHeight="1" x14ac:dyDescent="0.3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</row>
    <row r="516" spans="1:26" ht="13.5" customHeight="1" x14ac:dyDescent="0.3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</row>
    <row r="517" spans="1:26" ht="13.5" customHeight="1" x14ac:dyDescent="0.3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</row>
    <row r="518" spans="1:26" ht="13.5" customHeight="1" x14ac:dyDescent="0.3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</row>
    <row r="519" spans="1:26" ht="13.5" customHeight="1" x14ac:dyDescent="0.3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</row>
    <row r="520" spans="1:26" ht="13.5" customHeight="1" x14ac:dyDescent="0.3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</row>
    <row r="521" spans="1:26" ht="13.5" customHeight="1" x14ac:dyDescent="0.3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</row>
    <row r="522" spans="1:26" ht="13.5" customHeight="1" x14ac:dyDescent="0.3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</row>
    <row r="523" spans="1:26" ht="13.5" customHeight="1" x14ac:dyDescent="0.3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</row>
    <row r="524" spans="1:26" ht="13.5" customHeight="1" x14ac:dyDescent="0.3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</row>
    <row r="525" spans="1:26" ht="13.5" customHeight="1" x14ac:dyDescent="0.3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</row>
    <row r="526" spans="1:26" ht="13.5" customHeight="1" x14ac:dyDescent="0.3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</row>
    <row r="527" spans="1:26" ht="13.5" customHeight="1" x14ac:dyDescent="0.3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</row>
    <row r="528" spans="1:26" ht="13.5" customHeight="1" x14ac:dyDescent="0.3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</row>
    <row r="529" spans="1:26" ht="13.5" customHeight="1" x14ac:dyDescent="0.3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</row>
    <row r="530" spans="1:26" ht="13.5" customHeight="1" x14ac:dyDescent="0.3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</row>
    <row r="531" spans="1:26" ht="13.5" customHeight="1" x14ac:dyDescent="0.3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</row>
    <row r="532" spans="1:26" ht="13.5" customHeight="1" x14ac:dyDescent="0.3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</row>
    <row r="533" spans="1:26" ht="13.5" customHeight="1" x14ac:dyDescent="0.3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</row>
    <row r="534" spans="1:26" ht="13.5" customHeight="1" x14ac:dyDescent="0.3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</row>
    <row r="535" spans="1:26" ht="13.5" customHeight="1" x14ac:dyDescent="0.3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</row>
    <row r="536" spans="1:26" ht="13.5" customHeight="1" x14ac:dyDescent="0.3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</row>
    <row r="537" spans="1:26" ht="13.5" customHeight="1" x14ac:dyDescent="0.3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</row>
    <row r="538" spans="1:26" ht="13.5" customHeight="1" x14ac:dyDescent="0.3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</row>
    <row r="539" spans="1:26" ht="13.5" customHeight="1" x14ac:dyDescent="0.3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</row>
    <row r="540" spans="1:26" ht="13.5" customHeight="1" x14ac:dyDescent="0.3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</row>
    <row r="541" spans="1:26" ht="13.5" customHeight="1" x14ac:dyDescent="0.3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</row>
    <row r="542" spans="1:26" ht="13.5" customHeight="1" x14ac:dyDescent="0.3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</row>
    <row r="543" spans="1:26" ht="13.5" customHeight="1" x14ac:dyDescent="0.3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</row>
    <row r="544" spans="1:26" ht="13.5" customHeight="1" x14ac:dyDescent="0.3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</row>
    <row r="545" spans="1:26" ht="13.5" customHeight="1" x14ac:dyDescent="0.3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</row>
    <row r="546" spans="1:26" ht="13.5" customHeight="1" x14ac:dyDescent="0.3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</row>
    <row r="547" spans="1:26" ht="13.5" customHeight="1" x14ac:dyDescent="0.3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</row>
    <row r="548" spans="1:26" ht="13.5" customHeight="1" x14ac:dyDescent="0.3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</row>
    <row r="549" spans="1:26" ht="13.5" customHeight="1" x14ac:dyDescent="0.3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</row>
    <row r="550" spans="1:26" ht="13.5" customHeight="1" x14ac:dyDescent="0.3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</row>
    <row r="551" spans="1:26" ht="13.5" customHeight="1" x14ac:dyDescent="0.3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</row>
    <row r="552" spans="1:26" ht="13.5" customHeight="1" x14ac:dyDescent="0.3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</row>
    <row r="553" spans="1:26" ht="13.5" customHeight="1" x14ac:dyDescent="0.3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</row>
    <row r="554" spans="1:26" ht="13.5" customHeight="1" x14ac:dyDescent="0.3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</row>
    <row r="555" spans="1:26" ht="13.5" customHeight="1" x14ac:dyDescent="0.3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</row>
    <row r="556" spans="1:26" ht="13.5" customHeight="1" x14ac:dyDescent="0.3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</row>
    <row r="557" spans="1:26" ht="13.5" customHeight="1" x14ac:dyDescent="0.3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</row>
    <row r="558" spans="1:26" ht="13.5" customHeight="1" x14ac:dyDescent="0.3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</row>
    <row r="559" spans="1:26" ht="13.5" customHeight="1" x14ac:dyDescent="0.3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</row>
    <row r="560" spans="1:26" ht="13.5" customHeight="1" x14ac:dyDescent="0.3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</row>
    <row r="561" spans="1:26" ht="13.5" customHeight="1" x14ac:dyDescent="0.3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</row>
    <row r="562" spans="1:26" ht="13.5" customHeight="1" x14ac:dyDescent="0.3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</row>
    <row r="563" spans="1:26" ht="13.5" customHeight="1" x14ac:dyDescent="0.3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</row>
    <row r="564" spans="1:26" ht="13.5" customHeight="1" x14ac:dyDescent="0.3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</row>
    <row r="565" spans="1:26" ht="13.5" customHeight="1" x14ac:dyDescent="0.3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</row>
    <row r="566" spans="1:26" ht="13.5" customHeight="1" x14ac:dyDescent="0.3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</row>
    <row r="567" spans="1:26" ht="13.5" customHeight="1" x14ac:dyDescent="0.3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</row>
    <row r="568" spans="1:26" ht="13.5" customHeight="1" x14ac:dyDescent="0.3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</row>
    <row r="569" spans="1:26" ht="13.5" customHeight="1" x14ac:dyDescent="0.3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</row>
    <row r="570" spans="1:26" ht="13.5" customHeight="1" x14ac:dyDescent="0.3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</row>
    <row r="571" spans="1:26" ht="13.5" customHeight="1" x14ac:dyDescent="0.3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</row>
    <row r="572" spans="1:26" ht="13.5" customHeight="1" x14ac:dyDescent="0.3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</row>
    <row r="573" spans="1:26" ht="13.5" customHeight="1" x14ac:dyDescent="0.3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</row>
    <row r="574" spans="1:26" ht="13.5" customHeight="1" x14ac:dyDescent="0.3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</row>
    <row r="575" spans="1:26" ht="13.5" customHeight="1" x14ac:dyDescent="0.3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</row>
    <row r="576" spans="1:26" ht="13.5" customHeight="1" x14ac:dyDescent="0.3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</row>
    <row r="577" spans="1:26" ht="13.5" customHeight="1" x14ac:dyDescent="0.3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</row>
    <row r="578" spans="1:26" ht="13.5" customHeight="1" x14ac:dyDescent="0.3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</row>
    <row r="579" spans="1:26" ht="13.5" customHeight="1" x14ac:dyDescent="0.3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</row>
    <row r="580" spans="1:26" ht="13.5" customHeight="1" x14ac:dyDescent="0.3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</row>
    <row r="581" spans="1:26" ht="13.5" customHeight="1" x14ac:dyDescent="0.3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</row>
    <row r="582" spans="1:26" ht="13.5" customHeight="1" x14ac:dyDescent="0.3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</row>
    <row r="583" spans="1:26" ht="13.5" customHeight="1" x14ac:dyDescent="0.3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</row>
    <row r="584" spans="1:26" ht="13.5" customHeight="1" x14ac:dyDescent="0.3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</row>
    <row r="585" spans="1:26" ht="13.5" customHeight="1" x14ac:dyDescent="0.3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</row>
    <row r="586" spans="1:26" ht="13.5" customHeight="1" x14ac:dyDescent="0.3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</row>
    <row r="587" spans="1:26" ht="13.5" customHeight="1" x14ac:dyDescent="0.3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</row>
    <row r="588" spans="1:26" ht="13.5" customHeight="1" x14ac:dyDescent="0.3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</row>
    <row r="589" spans="1:26" ht="13.5" customHeight="1" x14ac:dyDescent="0.3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</row>
    <row r="590" spans="1:26" ht="13.5" customHeight="1" x14ac:dyDescent="0.3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</row>
    <row r="591" spans="1:26" ht="13.5" customHeight="1" x14ac:dyDescent="0.3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</row>
    <row r="592" spans="1:26" ht="13.5" customHeight="1" x14ac:dyDescent="0.3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</row>
    <row r="593" spans="1:26" ht="13.5" customHeight="1" x14ac:dyDescent="0.3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</row>
    <row r="594" spans="1:26" ht="13.5" customHeight="1" x14ac:dyDescent="0.3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</row>
    <row r="595" spans="1:26" ht="13.5" customHeight="1" x14ac:dyDescent="0.3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</row>
    <row r="596" spans="1:26" ht="13.5" customHeight="1" x14ac:dyDescent="0.3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</row>
    <row r="597" spans="1:26" ht="13.5" customHeight="1" x14ac:dyDescent="0.3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</row>
    <row r="598" spans="1:26" ht="13.5" customHeight="1" x14ac:dyDescent="0.3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</row>
    <row r="599" spans="1:26" ht="13.5" customHeight="1" x14ac:dyDescent="0.3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</row>
    <row r="600" spans="1:26" ht="13.5" customHeight="1" x14ac:dyDescent="0.3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</row>
    <row r="601" spans="1:26" ht="13.5" customHeight="1" x14ac:dyDescent="0.3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</row>
    <row r="602" spans="1:26" ht="13.5" customHeight="1" x14ac:dyDescent="0.3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</row>
    <row r="603" spans="1:26" ht="13.5" customHeight="1" x14ac:dyDescent="0.3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</row>
    <row r="604" spans="1:26" ht="13.5" customHeight="1" x14ac:dyDescent="0.3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</row>
    <row r="605" spans="1:26" ht="13.5" customHeight="1" x14ac:dyDescent="0.3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</row>
    <row r="606" spans="1:26" ht="13.5" customHeight="1" x14ac:dyDescent="0.3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</row>
    <row r="607" spans="1:26" ht="13.5" customHeight="1" x14ac:dyDescent="0.3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</row>
    <row r="608" spans="1:26" ht="13.5" customHeight="1" x14ac:dyDescent="0.3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</row>
    <row r="609" spans="1:26" ht="13.5" customHeight="1" x14ac:dyDescent="0.3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</row>
    <row r="610" spans="1:26" ht="13.5" customHeight="1" x14ac:dyDescent="0.3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</row>
    <row r="611" spans="1:26" ht="13.5" customHeight="1" x14ac:dyDescent="0.3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</row>
    <row r="612" spans="1:26" ht="13.5" customHeight="1" x14ac:dyDescent="0.3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</row>
    <row r="613" spans="1:26" ht="13.5" customHeight="1" x14ac:dyDescent="0.3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</row>
    <row r="614" spans="1:26" ht="13.5" customHeight="1" x14ac:dyDescent="0.3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</row>
    <row r="615" spans="1:26" ht="13.5" customHeight="1" x14ac:dyDescent="0.3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</row>
    <row r="616" spans="1:26" ht="13.5" customHeight="1" x14ac:dyDescent="0.3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</row>
    <row r="617" spans="1:26" ht="13.5" customHeight="1" x14ac:dyDescent="0.3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</row>
    <row r="618" spans="1:26" ht="13.5" customHeight="1" x14ac:dyDescent="0.3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</row>
    <row r="619" spans="1:26" ht="13.5" customHeight="1" x14ac:dyDescent="0.3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</row>
    <row r="620" spans="1:26" ht="13.5" customHeight="1" x14ac:dyDescent="0.3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</row>
    <row r="621" spans="1:26" ht="13.5" customHeight="1" x14ac:dyDescent="0.3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</row>
    <row r="622" spans="1:26" ht="13.5" customHeight="1" x14ac:dyDescent="0.3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</row>
    <row r="623" spans="1:26" ht="13.5" customHeight="1" x14ac:dyDescent="0.3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</row>
    <row r="624" spans="1:26" ht="13.5" customHeight="1" x14ac:dyDescent="0.3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</row>
    <row r="625" spans="1:26" ht="13.5" customHeight="1" x14ac:dyDescent="0.3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</row>
    <row r="626" spans="1:26" ht="13.5" customHeight="1" x14ac:dyDescent="0.3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</row>
    <row r="627" spans="1:26" ht="13.5" customHeight="1" x14ac:dyDescent="0.3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</row>
    <row r="628" spans="1:26" ht="13.5" customHeight="1" x14ac:dyDescent="0.3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</row>
    <row r="629" spans="1:26" ht="13.5" customHeight="1" x14ac:dyDescent="0.3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</row>
    <row r="630" spans="1:26" ht="13.5" customHeight="1" x14ac:dyDescent="0.3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</row>
    <row r="631" spans="1:26" ht="13.5" customHeight="1" x14ac:dyDescent="0.3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</row>
    <row r="632" spans="1:26" ht="13.5" customHeight="1" x14ac:dyDescent="0.3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</row>
    <row r="633" spans="1:26" ht="13.5" customHeight="1" x14ac:dyDescent="0.3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</row>
    <row r="634" spans="1:26" ht="13.5" customHeight="1" x14ac:dyDescent="0.3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</row>
    <row r="635" spans="1:26" ht="13.5" customHeight="1" x14ac:dyDescent="0.3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</row>
    <row r="636" spans="1:26" ht="13.5" customHeight="1" x14ac:dyDescent="0.3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</row>
    <row r="637" spans="1:26" ht="13.5" customHeight="1" x14ac:dyDescent="0.3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</row>
    <row r="638" spans="1:26" ht="13.5" customHeight="1" x14ac:dyDescent="0.3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</row>
    <row r="639" spans="1:26" ht="13.5" customHeight="1" x14ac:dyDescent="0.3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</row>
    <row r="640" spans="1:26" ht="13.5" customHeight="1" x14ac:dyDescent="0.3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</row>
    <row r="641" spans="1:26" ht="13.5" customHeight="1" x14ac:dyDescent="0.3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</row>
    <row r="642" spans="1:26" ht="13.5" customHeight="1" x14ac:dyDescent="0.3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</row>
    <row r="643" spans="1:26" ht="13.5" customHeight="1" x14ac:dyDescent="0.3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</row>
    <row r="644" spans="1:26" ht="13.5" customHeight="1" x14ac:dyDescent="0.3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</row>
    <row r="645" spans="1:26" ht="13.5" customHeight="1" x14ac:dyDescent="0.3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</row>
    <row r="646" spans="1:26" ht="13.5" customHeight="1" x14ac:dyDescent="0.3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</row>
    <row r="647" spans="1:26" ht="13.5" customHeight="1" x14ac:dyDescent="0.3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</row>
    <row r="648" spans="1:26" ht="13.5" customHeight="1" x14ac:dyDescent="0.3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</row>
    <row r="649" spans="1:26" ht="13.5" customHeight="1" x14ac:dyDescent="0.3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</row>
    <row r="650" spans="1:26" ht="13.5" customHeight="1" x14ac:dyDescent="0.3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</row>
    <row r="651" spans="1:26" ht="13.5" customHeight="1" x14ac:dyDescent="0.3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</row>
    <row r="652" spans="1:26" ht="13.5" customHeight="1" x14ac:dyDescent="0.3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</row>
    <row r="653" spans="1:26" ht="13.5" customHeight="1" x14ac:dyDescent="0.3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</row>
    <row r="654" spans="1:26" ht="13.5" customHeight="1" x14ac:dyDescent="0.3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</row>
    <row r="655" spans="1:26" ht="13.5" customHeight="1" x14ac:dyDescent="0.3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</row>
    <row r="656" spans="1:26" ht="13.5" customHeight="1" x14ac:dyDescent="0.3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</row>
    <row r="657" spans="1:26" ht="13.5" customHeight="1" x14ac:dyDescent="0.3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</row>
    <row r="658" spans="1:26" ht="13.5" customHeight="1" x14ac:dyDescent="0.3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</row>
    <row r="659" spans="1:26" ht="13.5" customHeight="1" x14ac:dyDescent="0.3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</row>
    <row r="660" spans="1:26" ht="13.5" customHeight="1" x14ac:dyDescent="0.3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</row>
    <row r="661" spans="1:26" ht="13.5" customHeight="1" x14ac:dyDescent="0.3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</row>
    <row r="662" spans="1:26" ht="13.5" customHeight="1" x14ac:dyDescent="0.3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</row>
    <row r="663" spans="1:26" ht="13.5" customHeight="1" x14ac:dyDescent="0.3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</row>
    <row r="664" spans="1:26" ht="13.5" customHeight="1" x14ac:dyDescent="0.3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</row>
    <row r="665" spans="1:26" ht="13.5" customHeight="1" x14ac:dyDescent="0.3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</row>
    <row r="666" spans="1:26" ht="13.5" customHeight="1" x14ac:dyDescent="0.3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</row>
    <row r="667" spans="1:26" ht="13.5" customHeight="1" x14ac:dyDescent="0.3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</row>
    <row r="668" spans="1:26" ht="13.5" customHeight="1" x14ac:dyDescent="0.3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</row>
    <row r="669" spans="1:26" ht="13.5" customHeight="1" x14ac:dyDescent="0.3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</row>
    <row r="670" spans="1:26" ht="13.5" customHeight="1" x14ac:dyDescent="0.3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</row>
    <row r="671" spans="1:26" ht="13.5" customHeight="1" x14ac:dyDescent="0.3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</row>
    <row r="672" spans="1:26" ht="13.5" customHeight="1" x14ac:dyDescent="0.3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</row>
    <row r="673" spans="1:26" ht="13.5" customHeight="1" x14ac:dyDescent="0.3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</row>
    <row r="674" spans="1:26" ht="13.5" customHeight="1" x14ac:dyDescent="0.3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</row>
    <row r="675" spans="1:26" ht="13.5" customHeight="1" x14ac:dyDescent="0.3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</row>
    <row r="676" spans="1:26" ht="13.5" customHeight="1" x14ac:dyDescent="0.3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</row>
    <row r="677" spans="1:26" ht="13.5" customHeight="1" x14ac:dyDescent="0.3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</row>
    <row r="678" spans="1:26" ht="13.5" customHeight="1" x14ac:dyDescent="0.3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</row>
    <row r="679" spans="1:26" ht="13.5" customHeight="1" x14ac:dyDescent="0.3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</row>
    <row r="680" spans="1:26" ht="13.5" customHeight="1" x14ac:dyDescent="0.3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</row>
    <row r="681" spans="1:26" ht="13.5" customHeight="1" x14ac:dyDescent="0.3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</row>
    <row r="682" spans="1:26" ht="13.5" customHeight="1" x14ac:dyDescent="0.3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</row>
    <row r="683" spans="1:26" ht="13.5" customHeight="1" x14ac:dyDescent="0.3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</row>
    <row r="684" spans="1:26" ht="13.5" customHeight="1" x14ac:dyDescent="0.3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</row>
    <row r="685" spans="1:26" ht="13.5" customHeight="1" x14ac:dyDescent="0.3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</row>
    <row r="686" spans="1:26" ht="13.5" customHeight="1" x14ac:dyDescent="0.3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</row>
    <row r="687" spans="1:26" ht="13.5" customHeight="1" x14ac:dyDescent="0.3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</row>
    <row r="688" spans="1:26" ht="13.5" customHeight="1" x14ac:dyDescent="0.3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</row>
    <row r="689" spans="1:26" ht="13.5" customHeight="1" x14ac:dyDescent="0.3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</row>
    <row r="690" spans="1:26" ht="13.5" customHeight="1" x14ac:dyDescent="0.3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</row>
    <row r="691" spans="1:26" ht="13.5" customHeight="1" x14ac:dyDescent="0.3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</row>
    <row r="692" spans="1:26" ht="13.5" customHeight="1" x14ac:dyDescent="0.3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</row>
    <row r="693" spans="1:26" ht="13.5" customHeight="1" x14ac:dyDescent="0.3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</row>
    <row r="694" spans="1:26" ht="13.5" customHeight="1" x14ac:dyDescent="0.3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</row>
    <row r="695" spans="1:26" ht="13.5" customHeight="1" x14ac:dyDescent="0.3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</row>
    <row r="696" spans="1:26" ht="13.5" customHeight="1" x14ac:dyDescent="0.3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</row>
    <row r="697" spans="1:26" ht="13.5" customHeight="1" x14ac:dyDescent="0.3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</row>
    <row r="698" spans="1:26" ht="13.5" customHeight="1" x14ac:dyDescent="0.3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</row>
    <row r="699" spans="1:26" ht="13.5" customHeight="1" x14ac:dyDescent="0.3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</row>
    <row r="700" spans="1:26" ht="13.5" customHeight="1" x14ac:dyDescent="0.3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</row>
    <row r="701" spans="1:26" ht="13.5" customHeight="1" x14ac:dyDescent="0.3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</row>
    <row r="702" spans="1:26" ht="13.5" customHeight="1" x14ac:dyDescent="0.3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</row>
    <row r="703" spans="1:26" ht="13.5" customHeight="1" x14ac:dyDescent="0.3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</row>
    <row r="704" spans="1:26" ht="13.5" customHeight="1" x14ac:dyDescent="0.3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</row>
    <row r="705" spans="1:26" ht="13.5" customHeight="1" x14ac:dyDescent="0.3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</row>
    <row r="706" spans="1:26" ht="13.5" customHeight="1" x14ac:dyDescent="0.3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</row>
    <row r="707" spans="1:26" ht="13.5" customHeight="1" x14ac:dyDescent="0.3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</row>
    <row r="708" spans="1:26" ht="13.5" customHeight="1" x14ac:dyDescent="0.3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</row>
    <row r="709" spans="1:26" ht="13.5" customHeight="1" x14ac:dyDescent="0.3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</row>
    <row r="710" spans="1:26" ht="13.5" customHeight="1" x14ac:dyDescent="0.3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</row>
    <row r="711" spans="1:26" ht="13.5" customHeight="1" x14ac:dyDescent="0.3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</row>
    <row r="712" spans="1:26" ht="13.5" customHeight="1" x14ac:dyDescent="0.3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</row>
    <row r="713" spans="1:26" ht="13.5" customHeight="1" x14ac:dyDescent="0.3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</row>
    <row r="714" spans="1:26" ht="13.5" customHeight="1" x14ac:dyDescent="0.3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</row>
    <row r="715" spans="1:26" ht="13.5" customHeight="1" x14ac:dyDescent="0.3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</row>
    <row r="716" spans="1:26" ht="13.5" customHeight="1" x14ac:dyDescent="0.3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</row>
    <row r="717" spans="1:26" ht="13.5" customHeight="1" x14ac:dyDescent="0.3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</row>
    <row r="718" spans="1:26" ht="13.5" customHeight="1" x14ac:dyDescent="0.3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</row>
    <row r="719" spans="1:26" ht="13.5" customHeight="1" x14ac:dyDescent="0.3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</row>
    <row r="720" spans="1:26" ht="13.5" customHeight="1" x14ac:dyDescent="0.3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</row>
    <row r="721" spans="1:26" ht="13.5" customHeight="1" x14ac:dyDescent="0.3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</row>
    <row r="722" spans="1:26" ht="13.5" customHeight="1" x14ac:dyDescent="0.3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</row>
    <row r="723" spans="1:26" ht="13.5" customHeight="1" x14ac:dyDescent="0.3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</row>
    <row r="724" spans="1:26" ht="13.5" customHeight="1" x14ac:dyDescent="0.3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</row>
    <row r="725" spans="1:26" ht="13.5" customHeight="1" x14ac:dyDescent="0.3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</row>
    <row r="726" spans="1:26" ht="13.5" customHeight="1" x14ac:dyDescent="0.3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</row>
    <row r="727" spans="1:26" ht="13.5" customHeight="1" x14ac:dyDescent="0.3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</row>
    <row r="728" spans="1:26" ht="13.5" customHeight="1" x14ac:dyDescent="0.3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</row>
    <row r="729" spans="1:26" ht="13.5" customHeight="1" x14ac:dyDescent="0.3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</row>
    <row r="730" spans="1:26" ht="13.5" customHeight="1" x14ac:dyDescent="0.3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</row>
    <row r="731" spans="1:26" ht="13.5" customHeight="1" x14ac:dyDescent="0.3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</row>
    <row r="732" spans="1:26" ht="13.5" customHeight="1" x14ac:dyDescent="0.3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</row>
    <row r="733" spans="1:26" ht="13.5" customHeight="1" x14ac:dyDescent="0.3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</row>
    <row r="734" spans="1:26" ht="13.5" customHeight="1" x14ac:dyDescent="0.3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</row>
    <row r="735" spans="1:26" ht="13.5" customHeight="1" x14ac:dyDescent="0.3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</row>
    <row r="736" spans="1:26" ht="13.5" customHeight="1" x14ac:dyDescent="0.3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</row>
    <row r="737" spans="1:26" ht="13.5" customHeight="1" x14ac:dyDescent="0.3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</row>
    <row r="738" spans="1:26" ht="13.5" customHeight="1" x14ac:dyDescent="0.3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</row>
    <row r="739" spans="1:26" ht="13.5" customHeight="1" x14ac:dyDescent="0.3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</row>
    <row r="740" spans="1:26" ht="13.5" customHeight="1" x14ac:dyDescent="0.3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</row>
    <row r="741" spans="1:26" ht="13.5" customHeight="1" x14ac:dyDescent="0.3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</row>
    <row r="742" spans="1:26" ht="13.5" customHeight="1" x14ac:dyDescent="0.3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</row>
    <row r="743" spans="1:26" ht="13.5" customHeight="1" x14ac:dyDescent="0.3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</row>
    <row r="744" spans="1:26" ht="13.5" customHeight="1" x14ac:dyDescent="0.3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</row>
    <row r="745" spans="1:26" ht="13.5" customHeight="1" x14ac:dyDescent="0.3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</row>
    <row r="746" spans="1:26" ht="13.5" customHeight="1" x14ac:dyDescent="0.3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</row>
    <row r="747" spans="1:26" ht="13.5" customHeight="1" x14ac:dyDescent="0.3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</row>
    <row r="748" spans="1:26" ht="13.5" customHeight="1" x14ac:dyDescent="0.3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</row>
    <row r="749" spans="1:26" ht="13.5" customHeight="1" x14ac:dyDescent="0.3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</row>
    <row r="750" spans="1:26" ht="13.5" customHeight="1" x14ac:dyDescent="0.3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</row>
    <row r="751" spans="1:26" ht="13.5" customHeight="1" x14ac:dyDescent="0.3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</row>
    <row r="752" spans="1:26" ht="13.5" customHeight="1" x14ac:dyDescent="0.3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</row>
    <row r="753" spans="1:26" ht="13.5" customHeight="1" x14ac:dyDescent="0.3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</row>
    <row r="754" spans="1:26" ht="13.5" customHeight="1" x14ac:dyDescent="0.3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</row>
    <row r="755" spans="1:26" ht="13.5" customHeight="1" x14ac:dyDescent="0.3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</row>
    <row r="756" spans="1:26" ht="13.5" customHeight="1" x14ac:dyDescent="0.3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</row>
    <row r="757" spans="1:26" ht="13.5" customHeight="1" x14ac:dyDescent="0.3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</row>
    <row r="758" spans="1:26" ht="13.5" customHeight="1" x14ac:dyDescent="0.3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</row>
    <row r="759" spans="1:26" ht="13.5" customHeight="1" x14ac:dyDescent="0.3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</row>
    <row r="760" spans="1:26" ht="13.5" customHeight="1" x14ac:dyDescent="0.3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</row>
    <row r="761" spans="1:26" ht="13.5" customHeight="1" x14ac:dyDescent="0.3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</row>
    <row r="762" spans="1:26" ht="13.5" customHeight="1" x14ac:dyDescent="0.3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</row>
    <row r="763" spans="1:26" ht="13.5" customHeight="1" x14ac:dyDescent="0.3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</row>
    <row r="764" spans="1:26" ht="13.5" customHeight="1" x14ac:dyDescent="0.3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</row>
    <row r="765" spans="1:26" ht="13.5" customHeight="1" x14ac:dyDescent="0.3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</row>
    <row r="766" spans="1:26" ht="13.5" customHeight="1" x14ac:dyDescent="0.3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</row>
    <row r="767" spans="1:26" ht="13.5" customHeight="1" x14ac:dyDescent="0.3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</row>
    <row r="768" spans="1:26" ht="13.5" customHeight="1" x14ac:dyDescent="0.3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</row>
    <row r="769" spans="1:26" ht="13.5" customHeight="1" x14ac:dyDescent="0.3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</row>
    <row r="770" spans="1:26" ht="13.5" customHeight="1" x14ac:dyDescent="0.3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</row>
    <row r="771" spans="1:26" ht="13.5" customHeight="1" x14ac:dyDescent="0.3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</row>
    <row r="772" spans="1:26" ht="13.5" customHeight="1" x14ac:dyDescent="0.3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</row>
    <row r="773" spans="1:26" ht="13.5" customHeight="1" x14ac:dyDescent="0.3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</row>
    <row r="774" spans="1:26" ht="13.5" customHeight="1" x14ac:dyDescent="0.3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</row>
    <row r="775" spans="1:26" ht="13.5" customHeight="1" x14ac:dyDescent="0.3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</row>
    <row r="776" spans="1:26" ht="13.5" customHeight="1" x14ac:dyDescent="0.3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</row>
    <row r="777" spans="1:26" ht="13.5" customHeight="1" x14ac:dyDescent="0.3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</row>
    <row r="778" spans="1:26" ht="13.5" customHeight="1" x14ac:dyDescent="0.3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</row>
    <row r="779" spans="1:26" ht="13.5" customHeight="1" x14ac:dyDescent="0.3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</row>
    <row r="780" spans="1:26" ht="13.5" customHeight="1" x14ac:dyDescent="0.3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</row>
    <row r="781" spans="1:26" ht="13.5" customHeight="1" x14ac:dyDescent="0.3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</row>
    <row r="782" spans="1:26" ht="13.5" customHeight="1" x14ac:dyDescent="0.3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</row>
    <row r="783" spans="1:26" ht="13.5" customHeight="1" x14ac:dyDescent="0.3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</row>
    <row r="784" spans="1:26" ht="13.5" customHeight="1" x14ac:dyDescent="0.3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</row>
    <row r="785" spans="1:26" ht="13.5" customHeight="1" x14ac:dyDescent="0.3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</row>
    <row r="786" spans="1:26" ht="13.5" customHeight="1" x14ac:dyDescent="0.3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</row>
    <row r="787" spans="1:26" ht="13.5" customHeight="1" x14ac:dyDescent="0.3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</row>
    <row r="788" spans="1:26" ht="13.5" customHeight="1" x14ac:dyDescent="0.3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</row>
    <row r="789" spans="1:26" ht="13.5" customHeight="1" x14ac:dyDescent="0.3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</row>
    <row r="790" spans="1:26" ht="13.5" customHeight="1" x14ac:dyDescent="0.3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</row>
    <row r="791" spans="1:26" ht="13.5" customHeight="1" x14ac:dyDescent="0.3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</row>
    <row r="792" spans="1:26" ht="13.5" customHeight="1" x14ac:dyDescent="0.3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</row>
    <row r="793" spans="1:26" ht="13.5" customHeight="1" x14ac:dyDescent="0.3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</row>
    <row r="794" spans="1:26" ht="13.5" customHeight="1" x14ac:dyDescent="0.3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</row>
    <row r="795" spans="1:26" ht="13.5" customHeight="1" x14ac:dyDescent="0.3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</row>
    <row r="796" spans="1:26" ht="13.5" customHeight="1" x14ac:dyDescent="0.3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</row>
    <row r="797" spans="1:26" ht="13.5" customHeight="1" x14ac:dyDescent="0.3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</row>
    <row r="798" spans="1:26" ht="13.5" customHeight="1" x14ac:dyDescent="0.3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</row>
    <row r="799" spans="1:26" ht="13.5" customHeight="1" x14ac:dyDescent="0.3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</row>
    <row r="800" spans="1:26" ht="13.5" customHeight="1" x14ac:dyDescent="0.3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</row>
    <row r="801" spans="1:26" ht="13.5" customHeight="1" x14ac:dyDescent="0.3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</row>
    <row r="802" spans="1:26" ht="13.5" customHeight="1" x14ac:dyDescent="0.3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</row>
    <row r="803" spans="1:26" ht="13.5" customHeight="1" x14ac:dyDescent="0.3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</row>
    <row r="804" spans="1:26" ht="13.5" customHeight="1" x14ac:dyDescent="0.3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</row>
    <row r="805" spans="1:26" ht="13.5" customHeight="1" x14ac:dyDescent="0.3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</row>
    <row r="806" spans="1:26" ht="13.5" customHeight="1" x14ac:dyDescent="0.3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</row>
    <row r="807" spans="1:26" ht="13.5" customHeight="1" x14ac:dyDescent="0.3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</row>
    <row r="808" spans="1:26" ht="13.5" customHeight="1" x14ac:dyDescent="0.3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</row>
    <row r="809" spans="1:26" ht="13.5" customHeight="1" x14ac:dyDescent="0.3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</row>
    <row r="810" spans="1:26" ht="13.5" customHeight="1" x14ac:dyDescent="0.3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</row>
    <row r="811" spans="1:26" ht="13.5" customHeight="1" x14ac:dyDescent="0.3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</row>
    <row r="812" spans="1:26" ht="13.5" customHeight="1" x14ac:dyDescent="0.3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</row>
    <row r="813" spans="1:26" ht="13.5" customHeight="1" x14ac:dyDescent="0.3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</row>
    <row r="814" spans="1:26" ht="13.5" customHeight="1" x14ac:dyDescent="0.3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</row>
    <row r="815" spans="1:26" ht="13.5" customHeight="1" x14ac:dyDescent="0.3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</row>
    <row r="816" spans="1:26" ht="13.5" customHeight="1" x14ac:dyDescent="0.3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</row>
    <row r="817" spans="1:26" ht="13.5" customHeight="1" x14ac:dyDescent="0.3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</row>
    <row r="818" spans="1:26" ht="13.5" customHeight="1" x14ac:dyDescent="0.3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</row>
    <row r="819" spans="1:26" ht="13.5" customHeight="1" x14ac:dyDescent="0.3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</row>
    <row r="820" spans="1:26" ht="13.5" customHeight="1" x14ac:dyDescent="0.3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</row>
    <row r="821" spans="1:26" ht="13.5" customHeight="1" x14ac:dyDescent="0.3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</row>
    <row r="822" spans="1:26" ht="13.5" customHeight="1" x14ac:dyDescent="0.3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</row>
    <row r="823" spans="1:26" ht="13.5" customHeight="1" x14ac:dyDescent="0.3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</row>
    <row r="824" spans="1:26" ht="13.5" customHeight="1" x14ac:dyDescent="0.3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</row>
    <row r="825" spans="1:26" ht="13.5" customHeight="1" x14ac:dyDescent="0.3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</row>
    <row r="826" spans="1:26" ht="13.5" customHeight="1" x14ac:dyDescent="0.3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</row>
    <row r="827" spans="1:26" ht="13.5" customHeight="1" x14ac:dyDescent="0.3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</row>
    <row r="828" spans="1:26" ht="13.5" customHeight="1" x14ac:dyDescent="0.3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</row>
    <row r="829" spans="1:26" ht="13.5" customHeight="1" x14ac:dyDescent="0.3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</row>
    <row r="830" spans="1:26" ht="13.5" customHeight="1" x14ac:dyDescent="0.3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</row>
    <row r="831" spans="1:26" ht="13.5" customHeight="1" x14ac:dyDescent="0.3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</row>
    <row r="832" spans="1:26" ht="13.5" customHeight="1" x14ac:dyDescent="0.3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</row>
    <row r="833" spans="1:26" ht="13.5" customHeight="1" x14ac:dyDescent="0.3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</row>
    <row r="834" spans="1:26" ht="13.5" customHeight="1" x14ac:dyDescent="0.3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</row>
    <row r="835" spans="1:26" ht="13.5" customHeight="1" x14ac:dyDescent="0.3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</row>
    <row r="836" spans="1:26" ht="13.5" customHeight="1" x14ac:dyDescent="0.3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</row>
    <row r="837" spans="1:26" ht="13.5" customHeight="1" x14ac:dyDescent="0.3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</row>
    <row r="838" spans="1:26" ht="13.5" customHeight="1" x14ac:dyDescent="0.3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</row>
    <row r="839" spans="1:26" ht="13.5" customHeight="1" x14ac:dyDescent="0.3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</row>
    <row r="840" spans="1:26" ht="13.5" customHeight="1" x14ac:dyDescent="0.3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</row>
    <row r="841" spans="1:26" ht="13.5" customHeight="1" x14ac:dyDescent="0.3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</row>
    <row r="842" spans="1:26" ht="13.5" customHeight="1" x14ac:dyDescent="0.3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</row>
    <row r="843" spans="1:26" ht="13.5" customHeight="1" x14ac:dyDescent="0.3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</row>
    <row r="844" spans="1:26" ht="13.5" customHeight="1" x14ac:dyDescent="0.3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</row>
    <row r="845" spans="1:26" ht="13.5" customHeight="1" x14ac:dyDescent="0.3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</row>
    <row r="846" spans="1:26" ht="13.5" customHeight="1" x14ac:dyDescent="0.3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</row>
    <row r="847" spans="1:26" ht="13.5" customHeight="1" x14ac:dyDescent="0.3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</row>
    <row r="848" spans="1:26" ht="13.5" customHeight="1" x14ac:dyDescent="0.3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</row>
    <row r="849" spans="1:26" ht="13.5" customHeight="1" x14ac:dyDescent="0.3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</row>
    <row r="850" spans="1:26" ht="13.5" customHeight="1" x14ac:dyDescent="0.3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</row>
    <row r="851" spans="1:26" ht="13.5" customHeight="1" x14ac:dyDescent="0.3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</row>
    <row r="852" spans="1:26" ht="13.5" customHeight="1" x14ac:dyDescent="0.3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</row>
    <row r="853" spans="1:26" ht="13.5" customHeight="1" x14ac:dyDescent="0.3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</row>
    <row r="854" spans="1:26" ht="13.5" customHeight="1" x14ac:dyDescent="0.3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</row>
    <row r="855" spans="1:26" ht="13.5" customHeight="1" x14ac:dyDescent="0.3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</row>
    <row r="856" spans="1:26" ht="13.5" customHeight="1" x14ac:dyDescent="0.3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</row>
    <row r="857" spans="1:26" ht="13.5" customHeight="1" x14ac:dyDescent="0.3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</row>
    <row r="858" spans="1:26" ht="13.5" customHeight="1" x14ac:dyDescent="0.3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</row>
    <row r="859" spans="1:26" ht="13.5" customHeight="1" x14ac:dyDescent="0.3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</row>
    <row r="860" spans="1:26" ht="13.5" customHeight="1" x14ac:dyDescent="0.3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</row>
    <row r="861" spans="1:26" ht="13.5" customHeight="1" x14ac:dyDescent="0.3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</row>
    <row r="862" spans="1:26" ht="13.5" customHeight="1" x14ac:dyDescent="0.3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</row>
    <row r="863" spans="1:26" ht="13.5" customHeight="1" x14ac:dyDescent="0.3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</row>
    <row r="864" spans="1:26" ht="13.5" customHeight="1" x14ac:dyDescent="0.3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</row>
    <row r="865" spans="1:26" ht="13.5" customHeight="1" x14ac:dyDescent="0.3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</row>
    <row r="866" spans="1:26" ht="13.5" customHeight="1" x14ac:dyDescent="0.3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</row>
    <row r="867" spans="1:26" ht="13.5" customHeight="1" x14ac:dyDescent="0.3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</row>
    <row r="868" spans="1:26" ht="13.5" customHeight="1" x14ac:dyDescent="0.3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</row>
    <row r="869" spans="1:26" ht="13.5" customHeight="1" x14ac:dyDescent="0.3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</row>
    <row r="870" spans="1:26" ht="13.5" customHeight="1" x14ac:dyDescent="0.3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</row>
    <row r="871" spans="1:26" ht="13.5" customHeight="1" x14ac:dyDescent="0.3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</row>
    <row r="872" spans="1:26" ht="13.5" customHeight="1" x14ac:dyDescent="0.3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</row>
    <row r="873" spans="1:26" ht="13.5" customHeight="1" x14ac:dyDescent="0.3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</row>
    <row r="874" spans="1:26" ht="13.5" customHeight="1" x14ac:dyDescent="0.3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</row>
    <row r="875" spans="1:26" ht="13.5" customHeight="1" x14ac:dyDescent="0.3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</row>
    <row r="876" spans="1:26" ht="13.5" customHeight="1" x14ac:dyDescent="0.3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</row>
    <row r="877" spans="1:26" ht="13.5" customHeight="1" x14ac:dyDescent="0.3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</row>
    <row r="878" spans="1:26" ht="13.5" customHeight="1" x14ac:dyDescent="0.3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</row>
    <row r="879" spans="1:26" ht="13.5" customHeight="1" x14ac:dyDescent="0.3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</row>
    <row r="880" spans="1:26" ht="13.5" customHeight="1" x14ac:dyDescent="0.3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</row>
    <row r="881" spans="1:26" ht="13.5" customHeight="1" x14ac:dyDescent="0.3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</row>
    <row r="882" spans="1:26" ht="13.5" customHeight="1" x14ac:dyDescent="0.3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</row>
    <row r="883" spans="1:26" ht="13.5" customHeight="1" x14ac:dyDescent="0.3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</row>
    <row r="884" spans="1:26" ht="13.5" customHeight="1" x14ac:dyDescent="0.3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</row>
    <row r="885" spans="1:26" ht="13.5" customHeight="1" x14ac:dyDescent="0.3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</row>
    <row r="886" spans="1:26" ht="13.5" customHeight="1" x14ac:dyDescent="0.3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</row>
    <row r="887" spans="1:26" ht="13.5" customHeight="1" x14ac:dyDescent="0.3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</row>
    <row r="888" spans="1:26" ht="13.5" customHeight="1" x14ac:dyDescent="0.3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</row>
    <row r="889" spans="1:26" ht="13.5" customHeight="1" x14ac:dyDescent="0.3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</row>
    <row r="890" spans="1:26" ht="13.5" customHeight="1" x14ac:dyDescent="0.3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</row>
    <row r="891" spans="1:26" ht="13.5" customHeight="1" x14ac:dyDescent="0.3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</row>
    <row r="892" spans="1:26" ht="13.5" customHeight="1" x14ac:dyDescent="0.3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</row>
    <row r="893" spans="1:26" ht="13.5" customHeight="1" x14ac:dyDescent="0.3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</row>
    <row r="894" spans="1:26" ht="13.5" customHeight="1" x14ac:dyDescent="0.3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</row>
    <row r="895" spans="1:26" ht="13.5" customHeight="1" x14ac:dyDescent="0.3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</row>
    <row r="896" spans="1:26" ht="13.5" customHeight="1" x14ac:dyDescent="0.3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</row>
    <row r="897" spans="1:26" ht="13.5" customHeight="1" x14ac:dyDescent="0.3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</row>
    <row r="898" spans="1:26" ht="13.5" customHeight="1" x14ac:dyDescent="0.3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</row>
    <row r="899" spans="1:26" ht="13.5" customHeight="1" x14ac:dyDescent="0.3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</row>
    <row r="900" spans="1:26" ht="13.5" customHeight="1" x14ac:dyDescent="0.3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</row>
    <row r="901" spans="1:26" ht="13.5" customHeight="1" x14ac:dyDescent="0.3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</row>
    <row r="902" spans="1:26" ht="13.5" customHeight="1" x14ac:dyDescent="0.3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</row>
    <row r="903" spans="1:26" ht="13.5" customHeight="1" x14ac:dyDescent="0.3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</row>
    <row r="904" spans="1:26" ht="13.5" customHeight="1" x14ac:dyDescent="0.3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</row>
    <row r="905" spans="1:26" ht="13.5" customHeight="1" x14ac:dyDescent="0.3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</row>
    <row r="906" spans="1:26" ht="13.5" customHeight="1" x14ac:dyDescent="0.3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</row>
    <row r="907" spans="1:26" ht="13.5" customHeight="1" x14ac:dyDescent="0.3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</row>
    <row r="908" spans="1:26" ht="13.5" customHeight="1" x14ac:dyDescent="0.3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</row>
    <row r="909" spans="1:26" ht="13.5" customHeight="1" x14ac:dyDescent="0.3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</row>
    <row r="910" spans="1:26" ht="13.5" customHeight="1" x14ac:dyDescent="0.3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</row>
    <row r="911" spans="1:26" ht="13.5" customHeight="1" x14ac:dyDescent="0.3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</row>
    <row r="912" spans="1:26" ht="13.5" customHeight="1" x14ac:dyDescent="0.3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</row>
    <row r="913" spans="1:26" ht="13.5" customHeight="1" x14ac:dyDescent="0.3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</row>
    <row r="914" spans="1:26" ht="13.5" customHeight="1" x14ac:dyDescent="0.3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</row>
    <row r="915" spans="1:26" ht="13.5" customHeight="1" x14ac:dyDescent="0.3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</row>
    <row r="916" spans="1:26" ht="13.5" customHeight="1" x14ac:dyDescent="0.3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</row>
    <row r="917" spans="1:26" ht="13.5" customHeight="1" x14ac:dyDescent="0.3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</row>
    <row r="918" spans="1:26" ht="13.5" customHeight="1" x14ac:dyDescent="0.3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</row>
    <row r="919" spans="1:26" ht="13.5" customHeight="1" x14ac:dyDescent="0.3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</row>
    <row r="920" spans="1:26" ht="13.5" customHeight="1" x14ac:dyDescent="0.3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</row>
    <row r="921" spans="1:26" ht="13.5" customHeight="1" x14ac:dyDescent="0.3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</row>
    <row r="922" spans="1:26" ht="13.5" customHeight="1" x14ac:dyDescent="0.3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</row>
    <row r="923" spans="1:26" ht="13.5" customHeight="1" x14ac:dyDescent="0.3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</row>
    <row r="924" spans="1:26" ht="13.5" customHeight="1" x14ac:dyDescent="0.3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</row>
    <row r="925" spans="1:26" ht="13.5" customHeight="1" x14ac:dyDescent="0.3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</row>
    <row r="926" spans="1:26" ht="13.5" customHeight="1" x14ac:dyDescent="0.3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</row>
    <row r="927" spans="1:26" ht="13.5" customHeight="1" x14ac:dyDescent="0.3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</row>
    <row r="928" spans="1:26" ht="13.5" customHeight="1" x14ac:dyDescent="0.3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</row>
    <row r="929" spans="1:26" ht="13.5" customHeight="1" x14ac:dyDescent="0.3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</row>
    <row r="930" spans="1:26" ht="13.5" customHeight="1" x14ac:dyDescent="0.3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</row>
    <row r="931" spans="1:26" ht="13.5" customHeight="1" x14ac:dyDescent="0.3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</row>
    <row r="932" spans="1:26" ht="13.5" customHeight="1" x14ac:dyDescent="0.3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</row>
    <row r="933" spans="1:26" ht="13.5" customHeight="1" x14ac:dyDescent="0.3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</row>
    <row r="934" spans="1:26" ht="13.5" customHeight="1" x14ac:dyDescent="0.3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</row>
    <row r="935" spans="1:26" ht="13.5" customHeight="1" x14ac:dyDescent="0.3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</row>
    <row r="936" spans="1:26" ht="13.5" customHeight="1" x14ac:dyDescent="0.3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</row>
    <row r="937" spans="1:26" ht="13.5" customHeight="1" x14ac:dyDescent="0.3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</row>
    <row r="938" spans="1:26" ht="13.5" customHeight="1" x14ac:dyDescent="0.3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</row>
    <row r="939" spans="1:26" ht="13.5" customHeight="1" x14ac:dyDescent="0.3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</row>
    <row r="940" spans="1:26" ht="13.5" customHeight="1" x14ac:dyDescent="0.3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</row>
    <row r="941" spans="1:26" ht="13.5" customHeight="1" x14ac:dyDescent="0.3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</row>
    <row r="942" spans="1:26" ht="13.5" customHeight="1" x14ac:dyDescent="0.3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</row>
    <row r="943" spans="1:26" ht="13.5" customHeight="1" x14ac:dyDescent="0.3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</row>
    <row r="944" spans="1:26" ht="13.5" customHeight="1" x14ac:dyDescent="0.3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</row>
    <row r="945" spans="1:26" ht="13.5" customHeight="1" x14ac:dyDescent="0.3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</row>
    <row r="946" spans="1:26" ht="13.5" customHeight="1" x14ac:dyDescent="0.3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</row>
    <row r="947" spans="1:26" ht="13.5" customHeight="1" x14ac:dyDescent="0.3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</row>
    <row r="948" spans="1:26" ht="13.5" customHeight="1" x14ac:dyDescent="0.3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</row>
    <row r="949" spans="1:26" ht="13.5" customHeight="1" x14ac:dyDescent="0.3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</row>
    <row r="950" spans="1:26" ht="13.5" customHeight="1" x14ac:dyDescent="0.3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</row>
    <row r="951" spans="1:26" ht="13.5" customHeight="1" x14ac:dyDescent="0.3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</row>
    <row r="952" spans="1:26" ht="13.5" customHeight="1" x14ac:dyDescent="0.3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</row>
    <row r="953" spans="1:26" ht="13.5" customHeight="1" x14ac:dyDescent="0.3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</row>
    <row r="954" spans="1:26" ht="13.5" customHeight="1" x14ac:dyDescent="0.3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</row>
    <row r="955" spans="1:26" ht="13.5" customHeight="1" x14ac:dyDescent="0.3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</row>
    <row r="956" spans="1:26" ht="13.5" customHeight="1" x14ac:dyDescent="0.3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</row>
    <row r="957" spans="1:26" ht="13.5" customHeight="1" x14ac:dyDescent="0.3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</row>
    <row r="958" spans="1:26" ht="13.5" customHeight="1" x14ac:dyDescent="0.3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</row>
    <row r="959" spans="1:26" ht="13.5" customHeight="1" x14ac:dyDescent="0.3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</row>
    <row r="960" spans="1:26" ht="13.5" customHeight="1" x14ac:dyDescent="0.3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</row>
    <row r="961" spans="1:26" ht="13.5" customHeight="1" x14ac:dyDescent="0.3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</row>
    <row r="962" spans="1:26" ht="13.5" customHeight="1" x14ac:dyDescent="0.3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</row>
    <row r="963" spans="1:26" ht="13.5" customHeight="1" x14ac:dyDescent="0.3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</row>
    <row r="964" spans="1:26" ht="13.5" customHeight="1" x14ac:dyDescent="0.3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</row>
    <row r="965" spans="1:26" ht="13.5" customHeight="1" x14ac:dyDescent="0.3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</row>
    <row r="966" spans="1:26" ht="13.5" customHeight="1" x14ac:dyDescent="0.3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</row>
    <row r="967" spans="1:26" ht="13.5" customHeight="1" x14ac:dyDescent="0.3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</row>
    <row r="968" spans="1:26" ht="13.5" customHeight="1" x14ac:dyDescent="0.3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</row>
    <row r="969" spans="1:26" ht="13.5" customHeight="1" x14ac:dyDescent="0.3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</row>
    <row r="970" spans="1:26" ht="13.5" customHeight="1" x14ac:dyDescent="0.3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</row>
    <row r="971" spans="1:26" ht="13.5" customHeight="1" x14ac:dyDescent="0.3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</row>
    <row r="972" spans="1:26" ht="13.5" customHeight="1" x14ac:dyDescent="0.3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</row>
    <row r="973" spans="1:26" ht="13.5" customHeight="1" x14ac:dyDescent="0.3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</row>
    <row r="974" spans="1:26" ht="13.5" customHeight="1" x14ac:dyDescent="0.3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</row>
    <row r="975" spans="1:26" ht="13.5" customHeight="1" x14ac:dyDescent="0.3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</row>
    <row r="976" spans="1:26" ht="13.5" customHeight="1" x14ac:dyDescent="0.3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</row>
    <row r="977" spans="1:26" ht="13.5" customHeight="1" x14ac:dyDescent="0.3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</row>
    <row r="978" spans="1:26" ht="13.5" customHeight="1" x14ac:dyDescent="0.3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</row>
    <row r="979" spans="1:26" ht="13.5" customHeight="1" x14ac:dyDescent="0.3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</row>
    <row r="980" spans="1:26" ht="13.5" customHeight="1" x14ac:dyDescent="0.3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</row>
    <row r="981" spans="1:26" ht="13.5" customHeight="1" x14ac:dyDescent="0.3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</row>
    <row r="982" spans="1:26" ht="13.5" customHeight="1" x14ac:dyDescent="0.3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</row>
    <row r="983" spans="1:26" ht="13.5" customHeight="1" x14ac:dyDescent="0.3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</row>
    <row r="984" spans="1:26" ht="13.5" customHeight="1" x14ac:dyDescent="0.3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</row>
    <row r="985" spans="1:26" ht="13.5" customHeight="1" x14ac:dyDescent="0.3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</row>
    <row r="986" spans="1:26" ht="13.5" customHeight="1" x14ac:dyDescent="0.3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</row>
    <row r="987" spans="1:26" ht="13.5" customHeight="1" x14ac:dyDescent="0.3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</row>
    <row r="988" spans="1:26" ht="13.5" customHeight="1" x14ac:dyDescent="0.3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</row>
    <row r="989" spans="1:26" ht="13.5" customHeight="1" x14ac:dyDescent="0.3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</row>
    <row r="990" spans="1:26" ht="13.5" customHeight="1" x14ac:dyDescent="0.3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</row>
    <row r="991" spans="1:26" ht="13.5" customHeight="1" x14ac:dyDescent="0.3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</row>
    <row r="992" spans="1:26" ht="13.5" customHeight="1" x14ac:dyDescent="0.3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</row>
    <row r="993" spans="1:26" ht="13.5" customHeight="1" x14ac:dyDescent="0.3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</row>
    <row r="994" spans="1:26" ht="13.5" customHeight="1" x14ac:dyDescent="0.3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</row>
    <row r="995" spans="1:26" ht="13.5" customHeight="1" x14ac:dyDescent="0.3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</row>
    <row r="996" spans="1:26" ht="13.5" customHeight="1" x14ac:dyDescent="0.3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</row>
    <row r="997" spans="1:26" ht="13.5" customHeight="1" x14ac:dyDescent="0.3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</row>
    <row r="998" spans="1:26" ht="13.5" customHeight="1" x14ac:dyDescent="0.3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</row>
    <row r="999" spans="1:26" ht="13.5" customHeight="1" x14ac:dyDescent="0.3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</row>
  </sheetData>
  <mergeCells count="22">
    <mergeCell ref="A68:E68"/>
    <mergeCell ref="A85:E85"/>
    <mergeCell ref="A17:E17"/>
    <mergeCell ref="A18:E18"/>
    <mergeCell ref="A27:E27"/>
    <mergeCell ref="A51:E51"/>
    <mergeCell ref="A67:E67"/>
    <mergeCell ref="C12:E12"/>
    <mergeCell ref="C13:E13"/>
    <mergeCell ref="C14:E14"/>
    <mergeCell ref="C15:E15"/>
    <mergeCell ref="C16:E16"/>
    <mergeCell ref="C7:E7"/>
    <mergeCell ref="C8:E8"/>
    <mergeCell ref="C9:E9"/>
    <mergeCell ref="C10:E10"/>
    <mergeCell ref="C11:E11"/>
    <mergeCell ref="A1:E1"/>
    <mergeCell ref="A3:E3"/>
    <mergeCell ref="C4:E4"/>
    <mergeCell ref="C5:E5"/>
    <mergeCell ref="C6:E6"/>
  </mergeCells>
  <conditionalFormatting sqref="B70:B82">
    <cfRule type="cellIs" dxfId="17" priority="2" operator="lessThan">
      <formula>0</formula>
    </cfRule>
    <cfRule type="cellIs" dxfId="16" priority="3" operator="greaterThan">
      <formula>0</formula>
    </cfRule>
  </conditionalFormatting>
  <conditionalFormatting sqref="B40:D40">
    <cfRule type="cellIs" dxfId="15" priority="4" operator="lessThan">
      <formula>0</formula>
    </cfRule>
    <cfRule type="cellIs" dxfId="14" priority="5" operator="lessThan">
      <formula>0</formula>
    </cfRule>
    <cfRule type="cellIs" dxfId="13" priority="6" operator="greaterThan">
      <formula>0</formula>
    </cfRule>
  </conditionalFormatting>
  <conditionalFormatting sqref="B47:D47">
    <cfRule type="cellIs" dxfId="12" priority="7" operator="lessThan">
      <formula>0</formula>
    </cfRule>
    <cfRule type="cellIs" dxfId="11" priority="8" operator="lessThan">
      <formula>0</formula>
    </cfRule>
    <cfRule type="cellIs" dxfId="10" priority="9" operator="greaterThan">
      <formula>0</formula>
    </cfRule>
  </conditionalFormatting>
  <conditionalFormatting sqref="B60:E65">
    <cfRule type="cellIs" dxfId="9" priority="10" operator="lessThan">
      <formula>0</formula>
    </cfRule>
    <cfRule type="cellIs" dxfId="8" priority="11" operator="greaterThan">
      <formula>0</formula>
    </cfRule>
  </conditionalFormatting>
  <conditionalFormatting sqref="C60:E61">
    <cfRule type="cellIs" dxfId="7" priority="12" operator="lessThan">
      <formula>0</formula>
    </cfRule>
  </conditionalFormatting>
  <conditionalFormatting sqref="E70:E73">
    <cfRule type="expression" dxfId="6" priority="13">
      <formula>OR(LEFT(E70,2)="CÓ",LEFT(E70,3)="TỐT")</formula>
    </cfRule>
    <cfRule type="expression" dxfId="5" priority="14">
      <formula>OR(LEFT(E70,4)="CHƯA",LEFT(E70,8)="CẢNH BÁO")</formula>
    </cfRule>
  </conditionalFormatting>
  <pageMargins left="0.7" right="0.7" top="0.75" bottom="0.75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7"/>
  <sheetViews>
    <sheetView showGridLines="0" tabSelected="1" topLeftCell="I14" zoomScale="81" zoomScaleNormal="81" workbookViewId="0">
      <selection activeCell="E4" sqref="E4"/>
    </sheetView>
  </sheetViews>
  <sheetFormatPr defaultColWidth="12.5703125" defaultRowHeight="15" x14ac:dyDescent="0.25"/>
  <cols>
    <col min="1" max="1" width="26" customWidth="1"/>
    <col min="2" max="2" width="22" customWidth="1"/>
    <col min="3" max="4" width="16" customWidth="1"/>
    <col min="5" max="5" width="13" customWidth="1"/>
    <col min="6" max="6" width="24.5703125" customWidth="1"/>
    <col min="7" max="7" width="25.140625" customWidth="1"/>
    <col min="8" max="8" width="25.5703125" customWidth="1"/>
    <col min="9" max="9" width="14" customWidth="1"/>
    <col min="10" max="10" width="21.7109375" customWidth="1"/>
    <col min="11" max="11" width="22.5703125" customWidth="1"/>
    <col min="12" max="12" width="25.5703125" customWidth="1"/>
    <col min="13" max="15" width="13" customWidth="1"/>
    <col min="16" max="16" width="38" customWidth="1"/>
    <col min="17" max="26" width="8.5703125" customWidth="1"/>
  </cols>
  <sheetData>
    <row r="1" spans="1:26" ht="34.5" customHeight="1" x14ac:dyDescent="0.3">
      <c r="A1" s="201"/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" customHeight="1" x14ac:dyDescent="0.45">
      <c r="A2" s="202" t="s">
        <v>638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8" customHeight="1" x14ac:dyDescent="0.3">
      <c r="A3" s="133" t="s">
        <v>639</v>
      </c>
      <c r="B3" s="133" t="s">
        <v>640</v>
      </c>
      <c r="C3" s="133" t="s">
        <v>641</v>
      </c>
      <c r="D3" s="133" t="s">
        <v>642</v>
      </c>
      <c r="E3" s="133" t="s">
        <v>643</v>
      </c>
      <c r="F3" s="133" t="s">
        <v>644</v>
      </c>
      <c r="G3" s="133" t="s">
        <v>645</v>
      </c>
      <c r="H3" s="133" t="s">
        <v>646</v>
      </c>
      <c r="I3" s="133" t="s">
        <v>647</v>
      </c>
      <c r="J3" s="133" t="s">
        <v>648</v>
      </c>
      <c r="K3" s="133" t="s">
        <v>649</v>
      </c>
      <c r="L3" s="133" t="s">
        <v>650</v>
      </c>
      <c r="M3" s="133" t="s">
        <v>651</v>
      </c>
      <c r="N3" s="133" t="s">
        <v>652</v>
      </c>
      <c r="O3" s="133" t="s">
        <v>653</v>
      </c>
      <c r="P3" s="133" t="s">
        <v>8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3.75" customHeight="1" x14ac:dyDescent="0.3">
      <c r="A4" s="2" t="s">
        <v>654</v>
      </c>
      <c r="B4" s="2" t="s">
        <v>655</v>
      </c>
      <c r="C4" s="171">
        <v>0</v>
      </c>
      <c r="D4" s="172" t="s">
        <v>656</v>
      </c>
      <c r="E4" s="173">
        <v>0</v>
      </c>
      <c r="F4" s="171">
        <v>0</v>
      </c>
      <c r="G4" s="174">
        <f>MAX(0,'DIA_Giả Định'!$N$6-('DIA_Giả Định'!$N$6*'DIA_Giả Định'!$N$8))</f>
        <v>67200</v>
      </c>
      <c r="H4" s="174">
        <f>MAX(0,'DIA_Giả Định'!$O$6-('DIA_Giả Định'!$O$6*'DIA_Giả Định'!$O$8))</f>
        <v>180500</v>
      </c>
      <c r="I4" s="174">
        <f>MAX(0,'DIA_Giả Định'!$P$6-('DIA_Giả Định'!$P$6*'DIA_Giả Định'!$P$8))</f>
        <v>65800</v>
      </c>
      <c r="J4" s="175">
        <v>0</v>
      </c>
      <c r="K4" s="175">
        <v>0</v>
      </c>
      <c r="L4" s="175">
        <v>0</v>
      </c>
      <c r="M4" s="176">
        <f t="shared" ref="M4:M12" si="0">IFERROR(J4/$F$20,0)</f>
        <v>0</v>
      </c>
      <c r="N4" s="176">
        <f t="shared" ref="N4:N12" si="1">IFERROR(K4/$G$20,0)</f>
        <v>0</v>
      </c>
      <c r="O4" s="176">
        <f t="shared" ref="O4:O12" si="2">IFERROR(L4/$H$20,0)</f>
        <v>0</v>
      </c>
      <c r="P4" s="2" t="s">
        <v>657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8" customHeight="1" x14ac:dyDescent="0.3">
      <c r="A5" s="2" t="s">
        <v>658</v>
      </c>
      <c r="B5" s="2" t="s">
        <v>655</v>
      </c>
      <c r="C5" s="177">
        <f>'DIA_Giả Định'!$N$35</f>
        <v>39000</v>
      </c>
      <c r="D5" s="178" t="s">
        <v>659</v>
      </c>
      <c r="E5" s="179">
        <v>0</v>
      </c>
      <c r="F5" s="177">
        <f>'DIA_Giả Định'!$N$35</f>
        <v>39000</v>
      </c>
      <c r="G5" s="174">
        <f>('DIA_Giả Định'!$N$6*'DIA_Giả Định'!$N$8)*'DIA_Giả Định'!$N$9</f>
        <v>1959.9999999999998</v>
      </c>
      <c r="H5" s="174">
        <f>('DIA_Giả Định'!$O$6*'DIA_Giả Định'!$O$8)*'DIA_Giả Định'!$O$9</f>
        <v>6175</v>
      </c>
      <c r="I5" s="174">
        <f>('DIA_Giả Định'!$P$6*'DIA_Giả Định'!$P$8)*'DIA_Giả Định'!$P$9</f>
        <v>2520</v>
      </c>
      <c r="J5" s="175">
        <f>G5*'DIA_Giả Định'!$N$35*'DIA_Giả Định'!$N$5</f>
        <v>917279999.99999976</v>
      </c>
      <c r="K5" s="175">
        <f>H5*'DIA_Giả Định'!$O$35*'DIA_Giả Định'!$O$5</f>
        <v>3192472530.0000005</v>
      </c>
      <c r="L5" s="175">
        <f>I5*'DIA_Giả Định'!$P$35*'DIA_Giả Định'!$P$5</f>
        <v>1439246234.4624002</v>
      </c>
      <c r="M5" s="176">
        <f t="shared" si="0"/>
        <v>0.41672951288877569</v>
      </c>
      <c r="N5" s="176">
        <f t="shared" si="1"/>
        <v>0.46113686564490491</v>
      </c>
      <c r="O5" s="176">
        <f t="shared" si="2"/>
        <v>0.15869629640183566</v>
      </c>
      <c r="P5" s="2" t="s">
        <v>660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3.75" customHeight="1" x14ac:dyDescent="0.3">
      <c r="A6" s="2" t="s">
        <v>661</v>
      </c>
      <c r="B6" s="2" t="s">
        <v>655</v>
      </c>
      <c r="C6" s="177">
        <f>'DIA_Giả Định'!$N$36</f>
        <v>399000</v>
      </c>
      <c r="D6" s="178" t="s">
        <v>662</v>
      </c>
      <c r="E6" s="180">
        <f>IFERROR(1-'DIA_Giả Định'!$N$36/('DIA_Giả Định'!$N$35*'DIA_Giả Định'!$N$5),0)</f>
        <v>0.14743589743589747</v>
      </c>
      <c r="F6" s="177">
        <f>'DIA_Giả Định'!$N$36</f>
        <v>399000</v>
      </c>
      <c r="G6" s="174">
        <f>('DIA_Giả Định'!$N$6*'DIA_Giả Định'!$N$8)*'DIA_Giả Định'!$N$10</f>
        <v>840</v>
      </c>
      <c r="H6" s="174">
        <f>('DIA_Giả Định'!$O$6*'DIA_Giả Định'!$O$8)*'DIA_Giả Định'!$O$10</f>
        <v>3325</v>
      </c>
      <c r="I6" s="174">
        <f>('DIA_Giả Định'!$P$6*'DIA_Giả Định'!$P$8)*'DIA_Giả Định'!$P$10</f>
        <v>1680</v>
      </c>
      <c r="J6" s="175">
        <f>G6*'DIA_Giả Định'!$N$36</f>
        <v>335160000</v>
      </c>
      <c r="K6" s="175">
        <f>H6*'DIA_Giả Định'!$O$36</f>
        <v>1459342500.0000002</v>
      </c>
      <c r="L6" s="175">
        <f>I6*'DIA_Giả Định'!$P$36</f>
        <v>811087200.00000012</v>
      </c>
      <c r="M6" s="176">
        <f t="shared" si="0"/>
        <v>0.15226655278628348</v>
      </c>
      <c r="N6" s="176">
        <f t="shared" si="1"/>
        <v>0.2107948056024149</v>
      </c>
      <c r="O6" s="176">
        <f t="shared" si="2"/>
        <v>8.943329613574727E-2</v>
      </c>
      <c r="P6" s="2" t="s">
        <v>663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8" customHeight="1" x14ac:dyDescent="0.3">
      <c r="A7" s="2" t="s">
        <v>664</v>
      </c>
      <c r="B7" s="2" t="s">
        <v>665</v>
      </c>
      <c r="C7" s="177">
        <v>990000</v>
      </c>
      <c r="D7" s="178" t="s">
        <v>659</v>
      </c>
      <c r="E7" s="179">
        <v>0</v>
      </c>
      <c r="F7" s="177">
        <v>990000</v>
      </c>
      <c r="G7" s="174">
        <f>'DIA_Giả Định'!$N$26*'DIA_Giả Định'!$N$30</f>
        <v>25</v>
      </c>
      <c r="H7" s="174">
        <f>'DIA_Giả Định'!$N$26+'DIA_Giả Định'!$O$28*'DIA_Giả Định'!$O$30</f>
        <v>55</v>
      </c>
      <c r="I7" s="174">
        <f>'DIA_Giả Định'!$O$26+'DIA_Giả Định'!$P$28*'DIA_Giả Định'!$P$30</f>
        <v>160</v>
      </c>
      <c r="J7" s="175">
        <f>G7*'DIA_Giả Định'!$N$37*'DIA_Giả Định'!$N$5</f>
        <v>269700000</v>
      </c>
      <c r="K7" s="175">
        <f>H7*'DIA_Giả Định'!$O$37*'DIA_Giả Định'!$O$5</f>
        <v>655462698</v>
      </c>
      <c r="L7" s="175">
        <f>I7*'DIA_Giả Định'!$P$37*'DIA_Giả Định'!$P$5</f>
        <v>2106442596.3072002</v>
      </c>
      <c r="M7" s="176">
        <f t="shared" si="0"/>
        <v>0.12252741761087436</v>
      </c>
      <c r="N7" s="176">
        <f t="shared" si="1"/>
        <v>9.4678344531557435E-2</v>
      </c>
      <c r="O7" s="176">
        <f t="shared" si="2"/>
        <v>0.23226368818111559</v>
      </c>
      <c r="P7" s="2" t="s">
        <v>666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8" customHeight="1" x14ac:dyDescent="0.3">
      <c r="A8" s="2" t="s">
        <v>667</v>
      </c>
      <c r="B8" s="2" t="s">
        <v>665</v>
      </c>
      <c r="C8" s="177">
        <v>9900000</v>
      </c>
      <c r="D8" s="178" t="s">
        <v>659</v>
      </c>
      <c r="E8" s="179">
        <v>0</v>
      </c>
      <c r="F8" s="177">
        <v>9900000</v>
      </c>
      <c r="G8" s="174">
        <f>'DIA_Giả Định'!$N$25*'DIA_Giả Định'!$N$30</f>
        <v>5</v>
      </c>
      <c r="H8" s="174">
        <f>'DIA_Giả Định'!$N$25+'DIA_Giả Định'!$O$27*'DIA_Giả Định'!$O$30</f>
        <v>11.5</v>
      </c>
      <c r="I8" s="174">
        <f>'DIA_Giả Định'!$O$25+'DIA_Giả Định'!$P$27*'DIA_Giả Định'!$P$30</f>
        <v>32.5</v>
      </c>
      <c r="J8" s="175">
        <f>G8*'DIA_Giả Định'!$N$38*'DIA_Giả Định'!$N$5</f>
        <v>534000000</v>
      </c>
      <c r="K8" s="175">
        <f>H8*'DIA_Giả Định'!$O$38*'DIA_Giả Định'!$O$5</f>
        <v>1351020000</v>
      </c>
      <c r="L8" s="175">
        <f>I8*'DIA_Giả Định'!$P$38*'DIA_Giả Định'!$P$5</f>
        <v>4199910000.000001</v>
      </c>
      <c r="M8" s="176">
        <f t="shared" si="0"/>
        <v>0.2426015610092952</v>
      </c>
      <c r="N8" s="176">
        <f t="shared" si="1"/>
        <v>0.19514815628611823</v>
      </c>
      <c r="O8" s="176">
        <f t="shared" si="2"/>
        <v>0.46309668648880953</v>
      </c>
      <c r="P8" s="2" t="s">
        <v>668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8" customHeight="1" x14ac:dyDescent="0.3">
      <c r="A9" s="2" t="s">
        <v>669</v>
      </c>
      <c r="B9" s="2" t="s">
        <v>670</v>
      </c>
      <c r="C9" s="177">
        <f>IFERROR(('DIA_Giả Định'!$N$27*'DIA_Giả Định'!$N$39)/'DIA_Giả Định'!$N$29,0)</f>
        <v>8571428.5714285709</v>
      </c>
      <c r="D9" s="178" t="s">
        <v>671</v>
      </c>
      <c r="E9" s="179">
        <v>0</v>
      </c>
      <c r="F9" s="177">
        <f>C9</f>
        <v>8571428.5714285709</v>
      </c>
      <c r="G9" s="174">
        <f>'DIA_Giả Định'!$N$27</f>
        <v>2</v>
      </c>
      <c r="H9" s="174">
        <f>'DIA_Giả Định'!$O$27</f>
        <v>3</v>
      </c>
      <c r="I9" s="174">
        <f>'DIA_Giả Định'!$P$27</f>
        <v>5</v>
      </c>
      <c r="J9" s="175">
        <f>'DIA_Giả Định'!$N$27*'DIA_Giả Định'!$N$39</f>
        <v>60000000</v>
      </c>
      <c r="K9" s="175">
        <f>'DIA_Giả Định'!$O$27*'DIA_Giả Định'!$O$39</f>
        <v>90000000</v>
      </c>
      <c r="L9" s="175">
        <f>'DIA_Giả Định'!$P$27*'DIA_Giả Định'!$P$39</f>
        <v>150000000</v>
      </c>
      <c r="M9" s="176">
        <f t="shared" si="0"/>
        <v>2.7258602360594963E-2</v>
      </c>
      <c r="N9" s="176">
        <f t="shared" si="1"/>
        <v>1.3000054822097854E-2</v>
      </c>
      <c r="O9" s="176">
        <f t="shared" si="2"/>
        <v>1.6539521792924471E-2</v>
      </c>
      <c r="P9" s="2" t="s">
        <v>672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8" customHeight="1" x14ac:dyDescent="0.3">
      <c r="A10" s="2" t="s">
        <v>673</v>
      </c>
      <c r="B10" s="2" t="s">
        <v>670</v>
      </c>
      <c r="C10" s="177">
        <f>IFERROR(('DIA_Giả Định'!$N$28*'DIA_Giả Định'!$N$40)/'DIA_Giả Định'!$N$29,0)</f>
        <v>7142857.1428571427</v>
      </c>
      <c r="D10" s="178" t="s">
        <v>671</v>
      </c>
      <c r="E10" s="179">
        <v>0</v>
      </c>
      <c r="F10" s="177">
        <f>C10</f>
        <v>7142857.1428571427</v>
      </c>
      <c r="G10" s="174">
        <f>'DIA_Giả Định'!$N$28</f>
        <v>5</v>
      </c>
      <c r="H10" s="174">
        <f>'DIA_Giả Định'!$O$28</f>
        <v>10</v>
      </c>
      <c r="I10" s="174">
        <f>'DIA_Giả Định'!$P$28</f>
        <v>20</v>
      </c>
      <c r="J10" s="175">
        <f>'DIA_Giả Định'!$N$28*'DIA_Giả Định'!$N$40</f>
        <v>50000000</v>
      </c>
      <c r="K10" s="175">
        <f>'DIA_Giả Định'!$O$28*'DIA_Giả Định'!$O$40</f>
        <v>100000000</v>
      </c>
      <c r="L10" s="175">
        <f>'DIA_Giả Định'!$P$28*'DIA_Giả Định'!$P$40</f>
        <v>200000000</v>
      </c>
      <c r="M10" s="176">
        <f t="shared" si="0"/>
        <v>2.2715501967162471E-2</v>
      </c>
      <c r="N10" s="176">
        <f t="shared" si="1"/>
        <v>1.4444505357886503E-2</v>
      </c>
      <c r="O10" s="176">
        <f t="shared" si="2"/>
        <v>2.2052695723899292E-2</v>
      </c>
      <c r="P10" s="2" t="s">
        <v>672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2.25" customHeight="1" x14ac:dyDescent="0.3">
      <c r="A11" s="2" t="s">
        <v>674</v>
      </c>
      <c r="B11" s="2" t="s">
        <v>670</v>
      </c>
      <c r="C11" s="177">
        <f>'DIA_Giả Định'!$N$41</f>
        <v>2000000</v>
      </c>
      <c r="D11" s="178" t="s">
        <v>671</v>
      </c>
      <c r="E11" s="179">
        <v>0</v>
      </c>
      <c r="F11" s="177">
        <f>'DIA_Giả Định'!$N$41</f>
        <v>2000000</v>
      </c>
      <c r="G11" s="174">
        <f>'DIA_Giả Định'!$N$29</f>
        <v>7</v>
      </c>
      <c r="H11" s="174">
        <f>'DIA_Giả Định'!$O$29</f>
        <v>13</v>
      </c>
      <c r="I11" s="174">
        <f>'DIA_Giả Định'!$P$29</f>
        <v>25</v>
      </c>
      <c r="J11" s="175">
        <f>G11*'DIA_Giả Định'!$N$41</f>
        <v>14000000</v>
      </c>
      <c r="K11" s="175">
        <f>H11*'DIA_Giả Định'!$O$41</f>
        <v>26000000</v>
      </c>
      <c r="L11" s="175">
        <f>I11*'DIA_Giả Định'!$P$41</f>
        <v>50000000</v>
      </c>
      <c r="M11" s="176">
        <f t="shared" si="0"/>
        <v>6.3603405508054914E-3</v>
      </c>
      <c r="N11" s="176">
        <f t="shared" si="1"/>
        <v>3.7555713930504911E-3</v>
      </c>
      <c r="O11" s="176">
        <f t="shared" si="2"/>
        <v>5.513173930974823E-3</v>
      </c>
      <c r="P11" s="2" t="s">
        <v>675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8" customHeight="1" x14ac:dyDescent="0.3">
      <c r="A12" s="2" t="s">
        <v>676</v>
      </c>
      <c r="B12" s="2" t="s">
        <v>677</v>
      </c>
      <c r="C12" s="177">
        <f>'DIA_Giả Định'!$N$42</f>
        <v>15000000</v>
      </c>
      <c r="D12" s="178" t="s">
        <v>671</v>
      </c>
      <c r="E12" s="179">
        <v>0</v>
      </c>
      <c r="F12" s="177">
        <f>'DIA_Giả Định'!$N$42</f>
        <v>15000000</v>
      </c>
      <c r="G12" s="174">
        <f>'DIA_Giả Định'!$N$29*'DIA_Giả Định'!$N$43</f>
        <v>1.4000000000000001</v>
      </c>
      <c r="H12" s="174">
        <f>'DIA_Giả Định'!$O$29*'DIA_Giả Định'!$O$43</f>
        <v>3.25</v>
      </c>
      <c r="I12" s="174">
        <f>'DIA_Giả Định'!$P$29*'DIA_Giả Định'!$P$43</f>
        <v>7.5</v>
      </c>
      <c r="J12" s="175">
        <f>G12*'DIA_Giả Định'!$N$42</f>
        <v>21000000.000000004</v>
      </c>
      <c r="K12" s="175">
        <f>H12*'DIA_Giả Định'!$O$42</f>
        <v>48750000</v>
      </c>
      <c r="L12" s="175">
        <f>I12*'DIA_Giả Định'!$P$42</f>
        <v>112500000</v>
      </c>
      <c r="M12" s="176">
        <f t="shared" si="0"/>
        <v>9.5405108262082393E-3</v>
      </c>
      <c r="N12" s="176">
        <f t="shared" si="1"/>
        <v>7.0416963619696704E-3</v>
      </c>
      <c r="O12" s="176">
        <f t="shared" si="2"/>
        <v>1.2404641344693353E-2</v>
      </c>
      <c r="P12" s="2" t="s">
        <v>678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.25" customHeight="1" x14ac:dyDescent="0.3">
      <c r="A14" s="203" t="s">
        <v>679</v>
      </c>
      <c r="B14" s="203"/>
      <c r="C14" s="203"/>
      <c r="D14" s="203"/>
      <c r="E14" s="203"/>
      <c r="F14" s="124" t="s">
        <v>467</v>
      </c>
      <c r="G14" s="124" t="s">
        <v>469</v>
      </c>
      <c r="H14" s="124" t="s">
        <v>471</v>
      </c>
      <c r="I14" s="181"/>
      <c r="J14" s="181"/>
      <c r="K14" s="181"/>
      <c r="L14" s="181"/>
      <c r="M14" s="181"/>
      <c r="N14" s="181"/>
      <c r="O14" s="181"/>
      <c r="P14" s="18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customHeight="1" x14ac:dyDescent="0.3">
      <c r="A15" s="204" t="s">
        <v>680</v>
      </c>
      <c r="B15" s="204"/>
      <c r="C15" s="204"/>
      <c r="D15" s="204"/>
      <c r="E15" s="204"/>
      <c r="F15" s="182">
        <f>SUM(J5:J6)</f>
        <v>1252439999.9999998</v>
      </c>
      <c r="G15" s="182">
        <f>SUM(K5:K6)</f>
        <v>4651815030.000001</v>
      </c>
      <c r="H15" s="182">
        <f>SUM(L5:L6)</f>
        <v>2250333434.4624004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.25" customHeight="1" x14ac:dyDescent="0.3">
      <c r="A16" s="205" t="s">
        <v>681</v>
      </c>
      <c r="B16" s="205"/>
      <c r="C16" s="205"/>
      <c r="D16" s="205"/>
      <c r="E16" s="205"/>
      <c r="F16" s="175">
        <f>SUM(J7:J8)</f>
        <v>803700000</v>
      </c>
      <c r="G16" s="175">
        <f>SUM(K7:K8)</f>
        <v>2006482698</v>
      </c>
      <c r="H16" s="175">
        <f>SUM(L7:L8)</f>
        <v>6306352596.3072014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7.25" customHeight="1" x14ac:dyDescent="0.3">
      <c r="A17" s="205" t="s">
        <v>682</v>
      </c>
      <c r="B17" s="205"/>
      <c r="C17" s="205"/>
      <c r="D17" s="205"/>
      <c r="E17" s="205"/>
      <c r="F17" s="175">
        <f t="shared" ref="F17:H18" si="3">J9</f>
        <v>60000000</v>
      </c>
      <c r="G17" s="175">
        <f t="shared" si="3"/>
        <v>90000000</v>
      </c>
      <c r="H17" s="175">
        <f t="shared" si="3"/>
        <v>150000000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7.25" customHeight="1" x14ac:dyDescent="0.3">
      <c r="A18" s="205" t="s">
        <v>683</v>
      </c>
      <c r="B18" s="205"/>
      <c r="C18" s="205"/>
      <c r="D18" s="205"/>
      <c r="E18" s="205"/>
      <c r="F18" s="175">
        <f t="shared" si="3"/>
        <v>50000000</v>
      </c>
      <c r="G18" s="175">
        <f t="shared" si="3"/>
        <v>100000000</v>
      </c>
      <c r="H18" s="175">
        <f t="shared" si="3"/>
        <v>200000000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.25" customHeight="1" x14ac:dyDescent="0.3">
      <c r="A19" s="205" t="s">
        <v>684</v>
      </c>
      <c r="B19" s="205"/>
      <c r="C19" s="205"/>
      <c r="D19" s="205"/>
      <c r="E19" s="205"/>
      <c r="F19" s="175">
        <f>SUM(J11:J12)</f>
        <v>35000000</v>
      </c>
      <c r="G19" s="175">
        <f>SUM(K11:K12)</f>
        <v>74750000</v>
      </c>
      <c r="H19" s="175">
        <f>SUM(L11:L12)</f>
        <v>162500000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customHeight="1" x14ac:dyDescent="0.3">
      <c r="A20" s="206" t="s">
        <v>547</v>
      </c>
      <c r="B20" s="206"/>
      <c r="C20" s="206"/>
      <c r="D20" s="206"/>
      <c r="E20" s="206"/>
      <c r="F20" s="183">
        <f>SUM(F15:F19)</f>
        <v>2201140000</v>
      </c>
      <c r="G20" s="183">
        <f>SUM(G15:G19)</f>
        <v>6923047728.000001</v>
      </c>
      <c r="H20" s="183">
        <f>SUM(H15:H19)</f>
        <v>9069186030.7696018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.25" customHeight="1" x14ac:dyDescent="0.3">
      <c r="A21" s="205" t="s">
        <v>685</v>
      </c>
      <c r="B21" s="205"/>
      <c r="C21" s="205"/>
      <c r="D21" s="205"/>
      <c r="E21" s="205"/>
      <c r="F21" s="175">
        <f>IFERROR(F15/('DIA_Giả Định'!$N$6*'DIA_Giả Định'!$N$8*'DIA_Giả Định'!$N$5),0)</f>
        <v>37274.999999999993</v>
      </c>
      <c r="G21" s="175">
        <f>IFERROR(G15/('DIA_Giả Định'!$O$6*'DIA_Giả Định'!$O$8*'DIA_Giả Định'!$O$5),0)</f>
        <v>40805.395000000011</v>
      </c>
      <c r="H21" s="175">
        <f>IFERROR(H15/('DIA_Giả Định'!$P$6*'DIA_Giả Định'!$P$8*'DIA_Giả Định'!$P$5),0)</f>
        <v>44649.47290600001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2.25" customHeight="1" x14ac:dyDescent="0.3">
      <c r="A22" s="205" t="s">
        <v>686</v>
      </c>
      <c r="B22" s="205"/>
      <c r="C22" s="205"/>
      <c r="D22" s="205"/>
      <c r="E22" s="205"/>
      <c r="F22" s="175">
        <f>IFERROR(F16/((G7)*'DIA_Giả Định'!$N$5),0)</f>
        <v>2679000</v>
      </c>
      <c r="G22" s="175">
        <f>IFERROR(G16/((H7)*'DIA_Giả Định'!$O$5),0)</f>
        <v>3040125.3</v>
      </c>
      <c r="H22" s="175">
        <f>IFERROR(H16/((I7)*'DIA_Giả Định'!$P$5),0)</f>
        <v>3284558.6439100006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.25" customHeight="1" x14ac:dyDescent="0.3">
      <c r="A23" s="205" t="s">
        <v>687</v>
      </c>
      <c r="B23" s="205"/>
      <c r="C23" s="205"/>
      <c r="D23" s="205"/>
      <c r="E23" s="205"/>
      <c r="F23" s="175">
        <f>IFERROR((F15+F16)/'DIA_Giả Định'!$N$5,0)</f>
        <v>171344999.99999997</v>
      </c>
      <c r="G23" s="175">
        <f>IFERROR((G15+G16)/'DIA_Giả Định'!$O$5,0)</f>
        <v>554858144.00000012</v>
      </c>
      <c r="H23" s="175">
        <f>IFERROR((H15+H16)/'DIA_Giả Định'!$P$5,0)</f>
        <v>713057169.23080015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.25" customHeight="1" x14ac:dyDescent="0.3">
      <c r="A24" s="206" t="s">
        <v>688</v>
      </c>
      <c r="B24" s="206"/>
      <c r="C24" s="206"/>
      <c r="D24" s="206"/>
      <c r="E24" s="206"/>
      <c r="F24" s="184">
        <f>F15+F16</f>
        <v>2056139999.9999998</v>
      </c>
      <c r="G24" s="184">
        <f>G15+G16</f>
        <v>6658297728.000001</v>
      </c>
      <c r="H24" s="184">
        <f>H15+H16</f>
        <v>8556686030.7696018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7.25" customHeight="1" x14ac:dyDescent="0.3">
      <c r="A25" s="206" t="s">
        <v>689</v>
      </c>
      <c r="B25" s="206"/>
      <c r="C25" s="206"/>
      <c r="D25" s="206"/>
      <c r="E25" s="206"/>
      <c r="F25" s="185">
        <v>0</v>
      </c>
      <c r="G25" s="185">
        <f>IFERROR(G20/F20-1,0)</f>
        <v>2.1452100856828737</v>
      </c>
      <c r="H25" s="185">
        <f>IFERROR(H20/G20-1,0)</f>
        <v>0.30999906213120942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7.25" customHeight="1" x14ac:dyDescent="0.3">
      <c r="A26" s="205" t="s">
        <v>690</v>
      </c>
      <c r="B26" s="205"/>
      <c r="C26" s="205"/>
      <c r="D26" s="205"/>
      <c r="E26" s="205"/>
      <c r="F26" s="176">
        <f>IFERROR(F24/F20,0)</f>
        <v>0.93412504429522869</v>
      </c>
      <c r="G26" s="176">
        <f>IFERROR(G24/G20,0)</f>
        <v>0.96175817206499548</v>
      </c>
      <c r="H26" s="176">
        <f>IFERROR(H24/H20,0)</f>
        <v>0.94348996720750811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7.25" customHeight="1" x14ac:dyDescent="0.3">
      <c r="A27" s="205" t="s">
        <v>691</v>
      </c>
      <c r="B27" s="205"/>
      <c r="C27" s="205"/>
      <c r="D27" s="205"/>
      <c r="E27" s="205"/>
      <c r="F27" s="175">
        <f>IFERROR(F20/('DIA_Giả Định'!$N$6*'DIA_Giả Định'!$N$7),0)</f>
        <v>89842.448979591834</v>
      </c>
      <c r="G27" s="175">
        <f>IFERROR(G20/('DIA_Giả Định'!$O$6*'DIA_Giả Định'!$O$7),0)</f>
        <v>80971.318456140361</v>
      </c>
      <c r="H27" s="175">
        <f>IFERROR(H20/('DIA_Giả Định'!$P$6*'DIA_Giả Định'!$P$7),0)</f>
        <v>235563.27352648316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16">
    <mergeCell ref="A27:E27"/>
    <mergeCell ref="A22:E22"/>
    <mergeCell ref="A23:E23"/>
    <mergeCell ref="A24:E24"/>
    <mergeCell ref="A25:E25"/>
    <mergeCell ref="A26:E26"/>
    <mergeCell ref="A17:E17"/>
    <mergeCell ref="A18:E18"/>
    <mergeCell ref="A19:E19"/>
    <mergeCell ref="A20:E20"/>
    <mergeCell ref="A21:E21"/>
    <mergeCell ref="A1:P1"/>
    <mergeCell ref="A2:P2"/>
    <mergeCell ref="A14:E14"/>
    <mergeCell ref="A15:E15"/>
    <mergeCell ref="A16:E16"/>
  </mergeCells>
  <pageMargins left="0.7" right="0.7" top="0.75" bottom="0.75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topLeftCell="F1" zoomScaleNormal="100" workbookViewId="0">
      <selection activeCell="F28" sqref="F28"/>
    </sheetView>
  </sheetViews>
  <sheetFormatPr defaultColWidth="12.5703125" defaultRowHeight="15" x14ac:dyDescent="0.25"/>
  <cols>
    <col min="1" max="1" width="30" customWidth="1"/>
    <col min="2" max="2" width="25" customWidth="1"/>
    <col min="3" max="3" width="27.140625" customWidth="1"/>
    <col min="4" max="4" width="24" customWidth="1"/>
    <col min="5" max="5" width="3" customWidth="1"/>
    <col min="6" max="6" width="24" customWidth="1"/>
    <col min="7" max="7" width="26.140625" customWidth="1"/>
    <col min="8" max="8" width="28.140625" customWidth="1"/>
    <col min="9" max="9" width="18" customWidth="1"/>
    <col min="10" max="12" width="14" customWidth="1"/>
    <col min="13" max="26" width="8.5703125" customWidth="1"/>
  </cols>
  <sheetData>
    <row r="1" spans="1:26" ht="31.5" customHeight="1" x14ac:dyDescent="0.3">
      <c r="A1" s="222" t="s">
        <v>692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75" customHeight="1" x14ac:dyDescent="0.3">
      <c r="A2" s="230" t="s">
        <v>693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25" customHeight="1" x14ac:dyDescent="0.3">
      <c r="A3" s="1" t="s">
        <v>638</v>
      </c>
      <c r="B3" s="186" t="str">
        <f>'DIA_Giả Định'!$B$2</f>
        <v>Cơ sở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2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.25" customHeight="1" x14ac:dyDescent="0.3">
      <c r="A5" s="203" t="s">
        <v>694</v>
      </c>
      <c r="B5" s="203"/>
      <c r="C5" s="203"/>
      <c r="D5" s="203"/>
      <c r="E5" s="1"/>
      <c r="F5" s="203" t="s">
        <v>695</v>
      </c>
      <c r="G5" s="203"/>
      <c r="H5" s="203"/>
      <c r="I5" s="20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.25" customHeight="1" x14ac:dyDescent="0.3">
      <c r="A6" s="133" t="s">
        <v>521</v>
      </c>
      <c r="B6" s="133" t="s">
        <v>467</v>
      </c>
      <c r="C6" s="133" t="s">
        <v>469</v>
      </c>
      <c r="D6" s="133" t="s">
        <v>471</v>
      </c>
      <c r="E6" s="1"/>
      <c r="F6" s="133" t="s">
        <v>521</v>
      </c>
      <c r="G6" s="133" t="s">
        <v>571</v>
      </c>
      <c r="H6" s="133" t="s">
        <v>521</v>
      </c>
      <c r="I6" s="133" t="s">
        <v>571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2.25" customHeight="1" x14ac:dyDescent="0.3">
      <c r="A7" s="2" t="s">
        <v>538</v>
      </c>
      <c r="B7" s="187">
        <f>'DIA_Giả Định'!$N$6</f>
        <v>70000</v>
      </c>
      <c r="C7" s="187">
        <f>'DIA_Giả Định'!$O$6</f>
        <v>190000</v>
      </c>
      <c r="D7" s="187">
        <f>'DIA_Giả Định'!$P$6</f>
        <v>70000</v>
      </c>
      <c r="E7" s="1"/>
      <c r="F7" s="2" t="s">
        <v>530</v>
      </c>
      <c r="G7" s="197">
        <f>'DIA_Hiệu Quả TC'!B70</f>
        <v>183871527.45827913</v>
      </c>
      <c r="H7" s="189" t="s">
        <v>531</v>
      </c>
      <c r="I7" s="196">
        <f>IFERROR('DIA_Hiệu Quả TC'!B71, "Âm")</f>
        <v>0.22137182714400705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.25" customHeight="1" x14ac:dyDescent="0.3">
      <c r="A8" s="2" t="s">
        <v>696</v>
      </c>
      <c r="B8" s="187">
        <f>'DIA_Giả Định'!$N$6*'DIA_Giả Định'!$N$7</f>
        <v>24500</v>
      </c>
      <c r="C8" s="187">
        <f>'DIA_Giả Định'!$O$6*'DIA_Giả Định'!$O$7</f>
        <v>85500</v>
      </c>
      <c r="D8" s="187">
        <f>'DIA_Giả Định'!$P$6*'DIA_Giả Định'!$P$7</f>
        <v>38500</v>
      </c>
      <c r="E8" s="1"/>
      <c r="F8" s="2" t="s">
        <v>616</v>
      </c>
      <c r="G8" s="198">
        <f>'DIA_Hiệu Quả TC'!B72</f>
        <v>2.453754047380416</v>
      </c>
      <c r="H8" s="189" t="s">
        <v>697</v>
      </c>
      <c r="I8" s="200">
        <f>'DIA_Hiệu Quả TC'!B80</f>
        <v>4103769577.4517794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.25" customHeight="1" x14ac:dyDescent="0.3">
      <c r="A9" s="2" t="s">
        <v>540</v>
      </c>
      <c r="B9" s="187">
        <f>'DIA_Giả Định'!$N$6*'DIA_Giả Định'!$N$8</f>
        <v>2800</v>
      </c>
      <c r="C9" s="187">
        <f>'DIA_Giả Định'!$O$6*'DIA_Giả Định'!$O$8</f>
        <v>9500</v>
      </c>
      <c r="D9" s="187">
        <f>'DIA_Giả Định'!$P$6*'DIA_Giả Định'!$P$8</f>
        <v>4200</v>
      </c>
      <c r="E9" s="1"/>
      <c r="F9" s="2" t="s">
        <v>698</v>
      </c>
      <c r="G9" s="188">
        <f>'DIA_Hiệu Quả TC'!$D$87</f>
        <v>0</v>
      </c>
      <c r="H9" s="189" t="s">
        <v>699</v>
      </c>
      <c r="I9" s="188">
        <f>'DIA_Hiệu Quả TC'!$D$89</f>
        <v>371022.70164811594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.25" customHeight="1" x14ac:dyDescent="0.3">
      <c r="A10" s="2" t="s">
        <v>700</v>
      </c>
      <c r="B10" s="187">
        <f>'DIA_Giả Định'!$N$25+'DIA_Giả Định'!$N$26</f>
        <v>60</v>
      </c>
      <c r="C10" s="187">
        <f>'DIA_Giả Định'!$O$25+'DIA_Giả Định'!$O$26</f>
        <v>180</v>
      </c>
      <c r="D10" s="187">
        <f>'DIA_Giả Định'!$P$25+'DIA_Giả Định'!$P$26</f>
        <v>40</v>
      </c>
      <c r="E10" s="1"/>
      <c r="F10" s="2" t="s">
        <v>632</v>
      </c>
      <c r="G10" s="190">
        <f>'DIA_Hiệu Quả TC'!$D$91</f>
        <v>0</v>
      </c>
      <c r="H10" s="189" t="s">
        <v>701</v>
      </c>
      <c r="I10" s="188">
        <f>'DIA_Hiệu Quả TC'!$B$78</f>
        <v>34572758.333333336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2.25" customHeight="1" x14ac:dyDescent="0.3">
      <c r="A11" s="2" t="s">
        <v>702</v>
      </c>
      <c r="B11" s="188">
        <f>'DIA_Hiệu Quả TC'!$B$29</f>
        <v>2201140000</v>
      </c>
      <c r="C11" s="188">
        <f>'DIA_Hiệu Quả TC'!$C$29</f>
        <v>6923047728.000001</v>
      </c>
      <c r="D11" s="188">
        <f>'DIA_Hiệu Quả TC'!$D$29</f>
        <v>9069186030.7696018</v>
      </c>
      <c r="E11" s="1"/>
      <c r="F11" s="2" t="s">
        <v>623</v>
      </c>
      <c r="G11" s="191">
        <f>'DIA_Hiệu Quả TC'!$B$79</f>
        <v>8.6773521831133422</v>
      </c>
      <c r="H11" s="189" t="s">
        <v>703</v>
      </c>
      <c r="I11" s="188">
        <f>'DIA_Hiệu Quả TC'!$D$88</f>
        <v>15120000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2.25" customHeight="1" x14ac:dyDescent="0.3">
      <c r="A12" s="2" t="s">
        <v>704</v>
      </c>
      <c r="B12" s="188">
        <f>'DIA_Giá và Doanh Thu'!$F$24</f>
        <v>2056139999.9999998</v>
      </c>
      <c r="C12" s="188">
        <f>'DIA_Giá và Doanh Thu'!$G$24</f>
        <v>6658297728.000001</v>
      </c>
      <c r="D12" s="188">
        <f>'DIA_Giá và Doanh Thu'!$H$24</f>
        <v>8556686030.7696018</v>
      </c>
      <c r="E12" s="1"/>
      <c r="F12" s="2" t="s">
        <v>705</v>
      </c>
      <c r="G12" s="188">
        <f>'DIA_Hiệu Quả TC'!$D$90</f>
        <v>54587243.363466382</v>
      </c>
      <c r="H12" s="189" t="s">
        <v>633</v>
      </c>
      <c r="I12" s="190">
        <f>'DIA_Hiệu Quả TC'!$D$92</f>
        <v>3.610267418218676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2.25" customHeight="1" x14ac:dyDescent="0.3">
      <c r="A13" s="2" t="s">
        <v>706</v>
      </c>
      <c r="B13" s="188">
        <f>'DIA_Chi Phí'!$D$65</f>
        <v>2616013100</v>
      </c>
      <c r="C13" s="188">
        <f>'DIA_Chi Phí'!$E$65</f>
        <v>5618244726.5699997</v>
      </c>
      <c r="D13" s="188">
        <f>'DIA_Chi Phí'!$F$65</f>
        <v>5630768756.138464</v>
      </c>
      <c r="E13" s="1"/>
      <c r="F13" s="1" t="s">
        <v>533</v>
      </c>
      <c r="G13" s="199">
        <f>MAX(0, -MIN('DIA_Hiệu Quả TC'!C64:E64))</f>
        <v>1989268480</v>
      </c>
      <c r="H13" s="1">
        <f>-MIN('DIA_Hiệu Quả TC'!C64:E64)</f>
        <v>1989268480</v>
      </c>
      <c r="I13" s="199">
        <f>ROUNDUP(G13 / 100000000, 0) * 100000000</f>
        <v>2000000000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2.25" customHeight="1" x14ac:dyDescent="0.3">
      <c r="A14" s="2" t="s">
        <v>588</v>
      </c>
      <c r="B14" s="188">
        <f>'DIA_Hiệu Quả TC'!$B$34</f>
        <v>1226876900</v>
      </c>
      <c r="C14" s="188">
        <f>'DIA_Hiệu Quả TC'!$C$34</f>
        <v>3540553001.4300008</v>
      </c>
      <c r="D14" s="188">
        <f>'DIA_Hiệu Quả TC'!$D$34</f>
        <v>6280167274.6311378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2.25" customHeight="1" x14ac:dyDescent="0.3">
      <c r="A15" s="2" t="s">
        <v>550</v>
      </c>
      <c r="B15" s="188">
        <f>'DIA_Hiệu Quả TC'!$B$40</f>
        <v>-414873100</v>
      </c>
      <c r="C15" s="188">
        <f>'DIA_Hiệu Quả TC'!$C$40</f>
        <v>1304803001.4300008</v>
      </c>
      <c r="D15" s="188">
        <f>'DIA_Hiệu Quả TC'!$D$40</f>
        <v>3438417274.6311378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2.25" customHeight="1" x14ac:dyDescent="0.3">
      <c r="A16" s="2" t="s">
        <v>554</v>
      </c>
      <c r="B16" s="188">
        <f>'DIA_Hiệu Quả TC'!$B$47</f>
        <v>-904273100</v>
      </c>
      <c r="C16" s="188">
        <f>'DIA_Hiệu Quả TC'!$C$47</f>
        <v>1015882401.1440006</v>
      </c>
      <c r="D16" s="188">
        <f>'DIA_Hiệu Quả TC'!$D$47</f>
        <v>2722773819.7049103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2.25" customHeight="1" x14ac:dyDescent="0.3">
      <c r="A17" s="2" t="s">
        <v>606</v>
      </c>
      <c r="B17" s="188">
        <f>'DIA_Hiệu Quả TC'!$C$60</f>
        <v>-414873100</v>
      </c>
      <c r="C17" s="188">
        <f>'DIA_Hiệu Quả TC'!$D$60</f>
        <v>851832401.14400065</v>
      </c>
      <c r="D17" s="188">
        <f>'DIA_Hiệu Quả TC'!$E$60</f>
        <v>2506723819.7049103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2.25" customHeight="1" x14ac:dyDescent="0.3">
      <c r="A18" s="2" t="s">
        <v>607</v>
      </c>
      <c r="B18" s="188">
        <f>'DIA_Hiệu Quả TC'!$C$61</f>
        <v>-414873100</v>
      </c>
      <c r="C18" s="188">
        <f>'DIA_Hiệu Quả TC'!$D$61</f>
        <v>436959301.14400065</v>
      </c>
      <c r="D18" s="188">
        <f>'DIA_Hiệu Quả TC'!$E$61</f>
        <v>2943683120.8489108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.25" customHeight="1" x14ac:dyDescent="0.3">
      <c r="A21" s="203" t="s">
        <v>707</v>
      </c>
      <c r="B21" s="203"/>
      <c r="C21" s="203"/>
      <c r="D21" s="203"/>
      <c r="E21" s="203"/>
      <c r="F21" s="203"/>
      <c r="G21" s="203"/>
      <c r="H21" s="203"/>
      <c r="I21" s="20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.25" customHeight="1" x14ac:dyDescent="0.3">
      <c r="A22" s="205" t="s">
        <v>708</v>
      </c>
      <c r="B22" s="205"/>
      <c r="C22" s="205"/>
      <c r="D22" s="233" t="str">
        <f>IF(AND('DIA_Hiệu Quả TC'!$B$70&gt;0,'DIA_Hiệu Quả TC'!$B$71&gt;'DIA_Giả Định'!$N$60),"Đạt yêu cầu tài chính","Cần điều chỉnh giả định")</f>
        <v>Đạt yêu cầu tài chính</v>
      </c>
      <c r="E22" s="233"/>
      <c r="F22" s="233"/>
      <c r="G22" s="233"/>
      <c r="H22" s="233"/>
      <c r="I22" s="23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.25" customHeight="1" x14ac:dyDescent="0.3">
      <c r="A23" s="205" t="s">
        <v>709</v>
      </c>
      <c r="B23" s="205"/>
      <c r="C23" s="205"/>
      <c r="D23" s="233" t="str">
        <f>IF(AND('DIA_Hiệu Quả TC'!$D$40&gt;0,'DIA_Hiệu Quả TC'!$E$64&gt;=0),"Hoàn vốn trong năm 3","Chưa hoàn vốn trong 3 năm")</f>
        <v>Hoàn vốn trong năm 3</v>
      </c>
      <c r="E23" s="233"/>
      <c r="F23" s="233"/>
      <c r="G23" s="233"/>
      <c r="H23" s="233"/>
      <c r="I23" s="23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.25" customHeight="1" x14ac:dyDescent="0.3">
      <c r="A24" s="205" t="s">
        <v>618</v>
      </c>
      <c r="B24" s="205"/>
      <c r="C24" s="205"/>
      <c r="D24" s="234" t="str">
        <f>IF('DIA_Hiệu Quả TC'!$E$61&lt;0,"Dòng tiền chưa cân bằng",IF(MIN('DIA_Hiệu Quả TC'!$C$61:$E$61)&lt;0,"Cần bố trí vốn lưu động giai đoạn đầu","Dòng tiền được kiểm soát"))</f>
        <v>Cần bố trí vốn lưu động giai đoạn đầu</v>
      </c>
      <c r="E24" s="234"/>
      <c r="F24" s="234"/>
      <c r="G24" s="234"/>
      <c r="H24" s="234"/>
      <c r="I24" s="23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7.25" customHeight="1" x14ac:dyDescent="0.3">
      <c r="A25" s="205" t="s">
        <v>710</v>
      </c>
      <c r="B25" s="205"/>
      <c r="C25" s="205"/>
      <c r="D25" s="231" t="str">
        <f>IF(AND(D22="Đạt yêu cầu tài chính",D23="Hoàn vốn trong năm 3",'DIA_Hiệu Quả TC'!$E$61&gt;=0),"Khả thi có điều kiện – đề xuất gọi vốn "&amp;TEXT(I13/1000000000,"0.0")&amp;" tỷ đồng","Cần điều chỉnh giả định")</f>
        <v>Khả thi có điều kiện – đề xuất gọi vốn 2.0 tỷ đồng</v>
      </c>
      <c r="E25" s="231"/>
      <c r="F25" s="231"/>
      <c r="G25" s="231"/>
      <c r="H25" s="231"/>
      <c r="I25" s="23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7.2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7.2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.2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25" customHeight="1" x14ac:dyDescent="0.3">
      <c r="A29" s="133" t="s">
        <v>662</v>
      </c>
      <c r="B29" s="133" t="s">
        <v>702</v>
      </c>
      <c r="C29" s="133" t="s">
        <v>706</v>
      </c>
      <c r="D29" s="19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2.25" customHeight="1" x14ac:dyDescent="0.3">
      <c r="A30" s="126" t="s">
        <v>467</v>
      </c>
      <c r="B30" s="127">
        <f>B11</f>
        <v>2201140000</v>
      </c>
      <c r="C30" s="127">
        <f>B13</f>
        <v>2616013100</v>
      </c>
      <c r="D30" s="127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2.25" customHeight="1" x14ac:dyDescent="0.3">
      <c r="A31" s="126" t="s">
        <v>469</v>
      </c>
      <c r="B31" s="127">
        <f>C11</f>
        <v>6923047728.000001</v>
      </c>
      <c r="C31" s="127">
        <f>C13</f>
        <v>5618244726.5699997</v>
      </c>
      <c r="D31" s="12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2.25" customHeight="1" x14ac:dyDescent="0.3">
      <c r="A32" s="126" t="s">
        <v>471</v>
      </c>
      <c r="B32" s="127">
        <f>D11</f>
        <v>9069186030.7696018</v>
      </c>
      <c r="C32" s="127">
        <f>D13</f>
        <v>5630768756.138464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.2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7.25" customHeight="1" x14ac:dyDescent="0.3">
      <c r="A34" s="192"/>
      <c r="B34" s="19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.25" customHeight="1" x14ac:dyDescent="0.3">
      <c r="A35" s="133" t="s">
        <v>711</v>
      </c>
      <c r="B35" s="193" t="s">
        <v>571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2.25" customHeight="1" x14ac:dyDescent="0.3">
      <c r="A36" s="126" t="s">
        <v>495</v>
      </c>
      <c r="B36" s="127">
        <f>'DIA_Hiệu Quả TC'!$D$30</f>
        <v>2250333434.4624004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7.25" customHeight="1" x14ac:dyDescent="0.3">
      <c r="A37" s="126" t="s">
        <v>502</v>
      </c>
      <c r="B37" s="127">
        <f>'DIA_Hiệu Quả TC'!$D$31</f>
        <v>6306352596.3072014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25" customHeight="1" x14ac:dyDescent="0.3">
      <c r="A38" s="126" t="s">
        <v>712</v>
      </c>
      <c r="B38" s="127">
        <f>'DIA_Hiệu Quả TC'!$D$32</f>
        <v>362500000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7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7.25" customHeight="1" x14ac:dyDescent="0.3">
      <c r="A40" s="192"/>
      <c r="B40" s="192" t="s">
        <v>718</v>
      </c>
      <c r="C40" s="192"/>
      <c r="D40" s="195" t="s">
        <v>719</v>
      </c>
      <c r="E40" s="1" t="s">
        <v>720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2.25" customHeight="1" x14ac:dyDescent="0.3">
      <c r="A41" s="133" t="s">
        <v>662</v>
      </c>
      <c r="B41" s="135" t="s">
        <v>538</v>
      </c>
      <c r="C41" s="135" t="s">
        <v>713</v>
      </c>
      <c r="D41" s="128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7.25" customHeight="1" x14ac:dyDescent="0.3">
      <c r="A42" s="126" t="s">
        <v>467</v>
      </c>
      <c r="B42" s="128">
        <f>B7</f>
        <v>70000</v>
      </c>
      <c r="C42" s="128">
        <f>B9</f>
        <v>2800</v>
      </c>
      <c r="D42" s="128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7.25" customHeight="1" x14ac:dyDescent="0.3">
      <c r="A43" s="126" t="s">
        <v>469</v>
      </c>
      <c r="B43" s="128">
        <f>C7</f>
        <v>190000</v>
      </c>
      <c r="C43" s="128">
        <f>C9</f>
        <v>9500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7.25" customHeight="1" x14ac:dyDescent="0.3">
      <c r="A44" s="126" t="s">
        <v>471</v>
      </c>
      <c r="B44" s="128">
        <f>D7</f>
        <v>70000</v>
      </c>
      <c r="C44" s="128">
        <f>D9</f>
        <v>4200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7.25" customHeight="1" x14ac:dyDescent="0.3">
      <c r="A45" s="192"/>
      <c r="B45" s="192"/>
      <c r="C45" s="192"/>
      <c r="D45" s="19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7.25" customHeight="1" x14ac:dyDescent="0.3">
      <c r="A46" s="126"/>
      <c r="B46" s="127"/>
      <c r="C46" s="127"/>
      <c r="D46" s="127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2.25" customHeight="1" x14ac:dyDescent="0.3">
      <c r="A47" s="133" t="s">
        <v>662</v>
      </c>
      <c r="B47" s="193" t="s">
        <v>606</v>
      </c>
      <c r="C47" s="193" t="s">
        <v>607</v>
      </c>
      <c r="D47" s="127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7.25" customHeight="1" x14ac:dyDescent="0.3">
      <c r="A48" s="126" t="s">
        <v>467</v>
      </c>
      <c r="B48" s="127">
        <f>B17</f>
        <v>-414873100</v>
      </c>
      <c r="C48" s="127">
        <f>B18</f>
        <v>-414873100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2.25" customHeight="1" x14ac:dyDescent="0.3">
      <c r="A49" s="126" t="s">
        <v>469</v>
      </c>
      <c r="B49" s="127">
        <f>C17</f>
        <v>851832401.14400065</v>
      </c>
      <c r="C49" s="127">
        <f>C18</f>
        <v>436959301.14400065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2.25" customHeight="1" x14ac:dyDescent="0.3">
      <c r="A50" s="126" t="s">
        <v>471</v>
      </c>
      <c r="B50" s="127">
        <f>D17</f>
        <v>2506723819.7049103</v>
      </c>
      <c r="C50" s="127">
        <f>D18</f>
        <v>2943683120.8489108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3">
      <c r="A79" s="232"/>
      <c r="B79" s="232"/>
      <c r="C79" s="232"/>
      <c r="D79" s="232"/>
      <c r="E79" s="232"/>
      <c r="F79" s="232"/>
      <c r="G79" s="232"/>
      <c r="H79" s="232"/>
      <c r="I79" s="232"/>
      <c r="J79" s="232"/>
      <c r="K79" s="232"/>
      <c r="L79" s="23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3">
      <c r="A80" s="232"/>
      <c r="B80" s="232"/>
      <c r="C80" s="232"/>
      <c r="D80" s="232"/>
      <c r="E80" s="232"/>
      <c r="F80" s="232"/>
      <c r="G80" s="232"/>
      <c r="H80" s="232"/>
      <c r="I80" s="232"/>
      <c r="J80" s="232"/>
      <c r="K80" s="232"/>
      <c r="L80" s="23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3">
      <c r="A81" s="232"/>
      <c r="B81" s="232"/>
      <c r="C81" s="232"/>
      <c r="D81" s="232"/>
      <c r="E81" s="232"/>
      <c r="F81" s="232"/>
      <c r="G81" s="232"/>
      <c r="H81" s="232"/>
      <c r="I81" s="232"/>
      <c r="J81" s="232"/>
      <c r="K81" s="232"/>
      <c r="L81" s="23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4">
    <mergeCell ref="A25:C25"/>
    <mergeCell ref="D25:I25"/>
    <mergeCell ref="A79:L81"/>
    <mergeCell ref="A22:C22"/>
    <mergeCell ref="D22:I22"/>
    <mergeCell ref="A23:C23"/>
    <mergeCell ref="D23:I23"/>
    <mergeCell ref="A24:C24"/>
    <mergeCell ref="D24:I24"/>
    <mergeCell ref="A1:L1"/>
    <mergeCell ref="A2:L2"/>
    <mergeCell ref="A5:D5"/>
    <mergeCell ref="F5:I5"/>
    <mergeCell ref="A21:I21"/>
  </mergeCells>
  <conditionalFormatting sqref="B15:D18">
    <cfRule type="cellIs" dxfId="4" priority="2" operator="lessThan">
      <formula>0</formula>
    </cfRule>
  </conditionalFormatting>
  <conditionalFormatting sqref="D22:I25">
    <cfRule type="expression" dxfId="3" priority="3">
      <formula>OR($D22="Có hiệu quả tài chính",$D22="Dòng tiền được kiểm soát")</formula>
    </cfRule>
    <cfRule type="expression" dxfId="2" priority="4">
      <formula>OR($D22="Cần điều chỉnh giả định",$D22="Chưa đạt điểm hòa vốn",$D22="Dòng tiền có nguy cơ thiếu hụt")</formula>
    </cfRule>
    <cfRule type="expression" dxfId="1" priority="5">
      <formula>OR($D22="Có hiệu quả tài chính",$D22="Dòng tiền được kiểm soát")</formula>
    </cfRule>
    <cfRule type="expression" dxfId="0" priority="6">
      <formula>OR($D22="Cần điều chỉnh giả định",$D22="Chưa đạt điểm hòa vốn",$D22="Dòng tiền có nguy cơ thiếu hụt")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DIA_Danh Mục Đầu Tư</vt:lpstr>
      <vt:lpstr>DIA_Giả Định</vt:lpstr>
      <vt:lpstr>DIA_Chi Phí</vt:lpstr>
      <vt:lpstr>DIA_Kịch Bản &amp; Độ Nhạy</vt:lpstr>
      <vt:lpstr>DIA_Hiệu Quả TC</vt:lpstr>
      <vt:lpstr>DIA_Giá và Doanh Thu</vt:lpstr>
      <vt:lpstr>DIA_Tóm Tắt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Khôi Lê</cp:lastModifiedBy>
  <cp:revision>4</cp:revision>
  <dcterms:created xsi:type="dcterms:W3CDTF">2026-07-23T04:29:47Z</dcterms:created>
  <dcterms:modified xsi:type="dcterms:W3CDTF">2026-07-23T13:30:16Z</dcterms:modified>
  <dc:language>en-US</dc:language>
</cp:coreProperties>
</file>