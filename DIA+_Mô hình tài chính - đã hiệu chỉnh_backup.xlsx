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DIA_Danh Mục Đầu Tư" sheetId="1" state="visible" r:id="rId3"/>
    <sheet name="DIA_Giả Định" sheetId="2" state="visible" r:id="rId4"/>
    <sheet name="DIA_Chi Phí" sheetId="3" state="visible" r:id="rId5"/>
    <sheet name="DIA_Kịch Bản &amp; Độ Nhạy" sheetId="4" state="visible" r:id="rId6"/>
    <sheet name="DIA_Hiệu Quả TC" sheetId="5" state="visible" r:id="rId7"/>
    <sheet name="DIA_Giá và Doanh Thu" sheetId="6" state="visible" r:id="rId8"/>
    <sheet name="DIA_Tóm Tắt" sheetId="7" state="visible" r:id="rId9"/>
  </sheets>
  <definedNames>
    <definedName function="false" hidden="true" localSheetId="1" name="_xlnm._FilterDatabase" vbProcedure="false">'DIA_Giả Định'!$A$3:$R$148</definedName>
    <definedName function="false" hidden="true" localSheetId="1" name="Z_9CD7A49B_D939_4BCC_A63D_DFA29187DD6C_.wvu.FilterData" vbProcedure="false">'DIA_Giả Định'!$A$3:$R$148</definedName>
    <definedName function="false" hidden="true" localSheetId="1" name="Z_AE1E9080_78A0_4411_9FB9_8E5F78FD3824_.wvu.FilterData" vbProcedure="false">'DIA_Giả Định'!$A$3:$R$148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<sst xmlns="http://schemas.openxmlformats.org/spreadsheetml/2006/main" count="1531" uniqueCount="716">
  <si>
    <t xml:space="preserve">DIA+ -  DANH MỤC ĐẦU TƯ</t>
  </si>
  <si>
    <t xml:space="preserve">STT</t>
  </si>
  <si>
    <t xml:space="preserve">Danh mục</t>
  </si>
  <si>
    <t xml:space="preserve">Số lượng</t>
  </si>
  <si>
    <t xml:space="preserve">Đơn giá</t>
  </si>
  <si>
    <t xml:space="preserve">Thành tiền</t>
  </si>
  <si>
    <t xml:space="preserve">Thời gian sử dụng</t>
  </si>
  <si>
    <t xml:space="preserve">Khấu hao / phân bổ</t>
  </si>
  <si>
    <t xml:space="preserve">Ghi chú</t>
  </si>
  <si>
    <t xml:space="preserve">Laptop Lenovo LOQ</t>
  </si>
  <si>
    <t xml:space="preserve">Có</t>
  </si>
  <si>
    <t xml:space="preserve">Mua 5 Laptop cho công ty (Chi 1 lần)</t>
  </si>
  <si>
    <t xml:space="preserve">Điện thoại Iphone/demo test</t>
  </si>
  <si>
    <t xml:space="preserve">Giá ngày 20/07/2026 tham khảo tại CellphoneS</t>
  </si>
  <si>
    <t xml:space="preserve">Lương đội ngũ công nghệ</t>
  </si>
  <si>
    <t xml:space="preserve">30.000.000đ/tháng</t>
  </si>
  <si>
    <t xml:space="preserve">Thuê mặt bằng văn phòng co - working </t>
  </si>
  <si>
    <t xml:space="preserve">Năm đầu chưa thuê mặt bằng </t>
  </si>
  <si>
    <t xml:space="preserve">Bảo mật và lưu trữ thông tin</t>
  </si>
  <si>
    <t xml:space="preserve">- Bảo mật Đám mây (Cloudflare Pro/WAF)</t>
  </si>
  <si>
    <t xml:space="preserve">1,0 năm</t>
  </si>
  <si>
    <t xml:space="preserve">Giá được tham khảo tại trang web cloudflare.com với gói Pro $240/năm tương đương $20/tháng và tỷ giá được xác định theo ngày 20/07/2026 với 1 USD = 26.940 VND</t>
  </si>
  <si>
    <t xml:space="preserve">Note: 
- Do thuê mặt bằng là Co - working nó sẽ bao hàm hết, 
không cần trả phí điện nước hay mạng.  </t>
  </si>
  <si>
    <t xml:space="preserve">- Vercel Pro</t>
  </si>
  <si>
    <t xml:space="preserve">Hosting cho Frontend (React/PWA)</t>
  </si>
  <si>
    <t xml:space="preserve">- Render / AWS EC2</t>
  </si>
  <si>
    <t xml:space="preserve">Hosting cho Backend (Node.js)</t>
  </si>
  <si>
    <t xml:space="preserve">- Supabase (Pro)</t>
  </si>
  <si>
    <t xml:space="preserve">Database PostgreSQL lưu bệnh án bảo mật</t>
  </si>
  <si>
    <t xml:space="preserve">- AWS S3</t>
  </si>
  <si>
    <t xml:space="preserve"> lưu trữ ảnh đơn thuốc</t>
  </si>
  <si>
    <t xml:space="preserve">Bản quyền Microsoft 365 Family chính hãng (có AI Copilot) </t>
  </si>
  <si>
    <t xml:space="preserve">Tích hợp AI</t>
  </si>
  <si>
    <t xml:space="preserve">- AI của Google Pro (đã bao gồm VAT)</t>
  </si>
  <si>
    <t xml:space="preserve">Giá được giảm khi sử dụng năm đầu, giá sau đó là 5.555.55 6 ₫/năm</t>
  </si>
  <si>
    <t xml:space="preserve">- Claude Team (Standard seat) (đã bao gồm VAT)</t>
  </si>
  <si>
    <t xml:space="preserve">Giá được tham khảo tại trang webclaude.com với gói Team $240/năm tương đương $20/tháng và tỷ giá được xác định theo ngày 20/07/2026 với 1 USD = 26.940 VND</t>
  </si>
  <si>
    <t xml:space="preserve">Tư vấn pháp lý và đăng ký kinh doanh</t>
  </si>
  <si>
    <t xml:space="preserve">Không</t>
  </si>
  <si>
    <t xml:space="preserve">- Thuê đơn vị hỗ trợ đăng ký thành lập doanh 
nghiệp đầy đủ (đã bao gồm ký quỹ ngân hàng)</t>
  </si>
  <si>
    <t xml:space="preserve">0,0 năm</t>
  </si>
  <si>
    <t xml:space="preserve">Đã bao trọn gói, ký quỹ và thuê địa chỉ</t>
  </si>
  <si>
    <t xml:space="preserve">- Kế toán dịch vụ (phí 1 tháng)</t>
  </si>
  <si>
    <t xml:space="preserve">Báo cáo hàng tháng</t>
  </si>
  <si>
    <t xml:space="preserve">- Đăng ký sở hữu trí tuệ (nhãn hiệu)</t>
  </si>
  <si>
    <t xml:space="preserve">Đã bao gồm phí đăng ký và 
thuê Đại lý sở hữu công nghiệp</t>
  </si>
  <si>
    <t xml:space="preserve">- Tư vấn pháp lý y tế</t>
  </si>
  <si>
    <t xml:space="preserve">Chính sách dữ liệu y tế (HIPAA/VN) </t>
  </si>
  <si>
    <t xml:space="preserve">- Đăng ký bản quyền phần mềm app</t>
  </si>
  <si>
    <t xml:space="preserve">Thuê dịch vụ, giá tham khảo tại Luật Trí Nam</t>
  </si>
  <si>
    <t xml:space="preserve">- Giấy phép Thương mại điện tử (Bộ Công Thương)</t>
  </si>
  <si>
    <t xml:space="preserve">Thuê dịch vụ soạn hồ sơ</t>
  </si>
  <si>
    <t xml:space="preserve">Hạ tầng công nghệ</t>
  </si>
  <si>
    <t xml:space="preserve">có</t>
  </si>
  <si>
    <t xml:space="preserve">- SendGrid / Resend Gói Essentials (50K email/tháng)</t>
  </si>
  <si>
    <t xml:space="preserve">Hệ thống gửi Email OTP tự động</t>
  </si>
  <si>
    <t xml:space="preserve">- Zalo ZNS / SMS</t>
  </si>
  <si>
    <t xml:space="preserve">1. Phí đăng ký thương hiệu chính thống bảo mật y tế: ~ 600.000đ/năm
2. Ước tính giá tin nhắn 1 năm: 50.000 tin / tháng ~150.600.000đ/năm</t>
  </si>
  <si>
    <t xml:space="preserve">- Apple Developer</t>
  </si>
  <si>
    <t xml:space="preserve">Tài khoản App Store (Thanh toán năm)</t>
  </si>
  <si>
    <t xml:space="preserve">- Google Play Console</t>
  </si>
  <si>
    <t xml:space="preserve">Tài khoản CH Play (Đóng 1 lần vĩnh viễn)</t>
  </si>
  <si>
    <t xml:space="preserve">- Tên miền (domain)</t>
  </si>
  <si>
    <t xml:space="preserve">diaplus.vn / diaplus.app</t>
  </si>
  <si>
    <t xml:space="preserve">- Email workspace</t>
  </si>
  <si>
    <t xml:space="preserve">Email doanh nghiệp (vd: contact@diaplus.vn)</t>
  </si>
  <si>
    <t xml:space="preserve">- GitHub Team/Pro</t>
  </si>
  <si>
    <t xml:space="preserve">Quản lý mã nguồn nhóm</t>
  </si>
  <si>
    <t xml:space="preserve">- Thiết kế UI/UX - Loveable</t>
  </si>
  <si>
    <t xml:space="preserve">Thiết kế UI/UX</t>
  </si>
  <si>
    <t xml:space="preserve">Dự phòng ban đầu - dự trù chi phí phát sinh </t>
  </si>
  <si>
    <t xml:space="preserve">kHÔNG</t>
  </si>
  <si>
    <t xml:space="preserve">- Phát triển MVP</t>
  </si>
  <si>
    <t xml:space="preserve">Sản phẩm khả dụng tối thiểu)</t>
  </si>
  <si>
    <t xml:space="preserve">- Backend và cơ sở dữ liệu</t>
  </si>
  <si>
    <t xml:space="preserve">Bảo vệ thông tin bệnh nhân và Tối ưu chi phí &amp; Hiệu năng</t>
  </si>
  <si>
    <t xml:space="preserve">TỔNG DANH MỤC ĐẦU TƯ CHI TIẾT</t>
  </si>
  <si>
    <t xml:space="preserve"> .</t>
  </si>
  <si>
    <t xml:space="preserve">DIA+ - GIẢ ĐỊNH ĐẦU VÀO &amp; KỊCH BẢN 3 NĂM</t>
  </si>
  <si>
    <t xml:space="preserve">Cơ sở</t>
  </si>
  <si>
    <t xml:space="preserve">Note: 
- Thận trọng: Nếu mọi thứ diễn ra không thuận lợi lắm.
- Cơ sở: Kịch bản có khả năng xảy ra nhất 
- Tích cực: Nếu mọi thứ diễn ra thuận lợi hơn dự kiến</t>
  </si>
  <si>
    <t xml:space="preserve">Nhóm</t>
  </si>
  <si>
    <t xml:space="preserve">Mã biến</t>
  </si>
  <si>
    <t xml:space="preserve">Biến số</t>
  </si>
  <si>
    <t xml:space="preserve">Đơn vị</t>
  </si>
  <si>
    <t xml:space="preserve">Thận trọng
Năm 1</t>
  </si>
  <si>
    <t xml:space="preserve">Thận trọng
Năm 2</t>
  </si>
  <si>
    <t xml:space="preserve">Thận trọng
Năm 3</t>
  </si>
  <si>
    <t xml:space="preserve">Cơ sở
Năm 1</t>
  </si>
  <si>
    <t xml:space="preserve">Cơ sở
Năm 2</t>
  </si>
  <si>
    <t xml:space="preserve">Cơ sở
Năm 3</t>
  </si>
  <si>
    <t xml:space="preserve">Tích cực
Năm 1</t>
  </si>
  <si>
    <t xml:space="preserve">Tích cực
Năm 2</t>
  </si>
  <si>
    <t xml:space="preserve">Tích cực
Năm 3</t>
  </si>
  <si>
    <t xml:space="preserve">Kịch bản chọn
Năm 1</t>
  </si>
  <si>
    <t xml:space="preserve">Kịch bản chọn
Năm 2</t>
  </si>
  <si>
    <t xml:space="preserve">Kịch bản chọn
Năm 3</t>
  </si>
  <si>
    <t xml:space="preserve">Nguồn / căn cứ</t>
  </si>
  <si>
    <t xml:space="preserve">Trạng thái</t>
  </si>
  <si>
    <t xml:space="preserve">A. NGƯỜI DÙNG</t>
  </si>
  <si>
    <t xml:space="preserve">Người dùng</t>
  </si>
  <si>
    <t xml:space="preserve">months_year</t>
  </si>
  <si>
    <t xml:space="preserve">Số tháng trong năm</t>
  </si>
  <si>
    <t xml:space="preserve">tháng</t>
  </si>
  <si>
    <t xml:space="preserve">Quy ước mô hình</t>
  </si>
  <si>
    <t xml:space="preserve">Quy ước</t>
  </si>
  <si>
    <t xml:space="preserve">users_total</t>
  </si>
  <si>
    <t xml:space="preserve">Tổng người dùng đăng ký</t>
  </si>
  <si>
    <t xml:space="preserve">người</t>
  </si>
  <si>
    <t xml:space="preserve">Giả định với mục tiêu tăng trưởng theo 3 giai đoạn: thử nghiệm – tăng trưởng – mở rộng.</t>
  </si>
  <si>
    <t xml:space="preserve">Đã xác nhận</t>
  </si>
  <si>
    <t xml:space="preserve">mau_rate</t>
  </si>
  <si>
    <t xml:space="preserve">Tỷ lệ người dùng hoạt động MAU</t>
  </si>
  <si>
    <t xml:space="preserve">%</t>
  </si>
  <si>
    <t xml:space="preserve">Giả định ban đầu </t>
  </si>
  <si>
    <t xml:space="preserve">pro_conv</t>
  </si>
  <si>
    <t xml:space="preserve">Tỷ lệ chuyển đổi Free → Pro</t>
  </si>
  <si>
    <t xml:space="preserve">Giả định </t>
  </si>
  <si>
    <t xml:space="preserve">pro_monthly_share</t>
  </si>
  <si>
    <t xml:space="preserve">Tỷ lệ Pro trả theo tháng</t>
  </si>
  <si>
    <t xml:space="preserve">pro_annual_share</t>
  </si>
  <si>
    <t xml:space="preserve">Tỷ lệ Pro trả theo năm</t>
  </si>
  <si>
    <t xml:space="preserve">clinic_monthly_share</t>
  </si>
  <si>
    <t xml:space="preserve">Tỷ lệ Clinic trả theo tháng</t>
  </si>
  <si>
    <t xml:space="preserve">clinic_annual_share</t>
  </si>
  <si>
    <t xml:space="preserve">Tỷ lệ Clinc trả theo năm</t>
  </si>
  <si>
    <t xml:space="preserve">mau</t>
  </si>
  <si>
    <t xml:space="preserve">Số người thật sự dùng (MAU) </t>
  </si>
  <si>
    <t xml:space="preserve">b2c_mau</t>
  </si>
  <si>
    <t xml:space="preserve">Số người thật sự dùng phân khúc bệnh nhân</t>
  </si>
  <si>
    <t xml:space="preserve">b2c_clinic_mau</t>
  </si>
  <si>
    <t xml:space="preserve">Số người thật sự dùng phân khúc phòng khám</t>
  </si>
  <si>
    <t xml:space="preserve">b2c_retention_monthly</t>
  </si>
  <si>
    <t xml:space="preserve">Tỷ lệ giữ chân hằng tháng phân khúc bệnh nhân</t>
  </si>
  <si>
    <t xml:space="preserve">b2c_churn_monthly</t>
  </si>
  <si>
    <t xml:space="preserve">Tỷ lệ rời bỏ hằng tháng phân khúc bệnh nhân</t>
  </si>
  <si>
    <t xml:space="preserve">b2b_retention_monthly</t>
  </si>
  <si>
    <t xml:space="preserve">Tỷ lệ giữ chân hằng tháng phân khúc phòng khám</t>
  </si>
  <si>
    <t xml:space="preserve">b2b_churn_monthly</t>
  </si>
  <si>
    <t xml:space="preserve">Tỷ lệ rời bỏ hằng tháng phân khúc phòng khám</t>
  </si>
  <si>
    <t xml:space="preserve">new_users</t>
  </si>
  <si>
    <t xml:space="preserve">Tổng số người dùng mới trong năm</t>
  </si>
  <si>
    <t xml:space="preserve">Giả định, chênh lệch mục tiêu người dùng cuối năm</t>
  </si>
  <si>
    <t xml:space="preserve">b2c_new_users_annual</t>
  </si>
  <si>
    <t xml:space="preserve">Tổng số người dùng mới là bệnh nhân trong năm </t>
  </si>
  <si>
    <t xml:space="preserve">b2b_new_clinics_annual</t>
  </si>
  <si>
    <t xml:space="preserve">Tổng số người dùng mới là phòng khám trong năm</t>
  </si>
  <si>
    <t xml:space="preserve">scans_per_mau</t>
  </si>
  <si>
    <t xml:space="preserve">Lượt quét đơn thuốc / MAU / tháng</t>
  </si>
  <si>
    <t xml:space="preserve">lượt</t>
  </si>
  <si>
    <t xml:space="preserve">Giả định theo mức sử dụng AI/OCR</t>
  </si>
  <si>
    <t xml:space="preserve">B. KHÁCH HÀNG TỔ CHỨC</t>
  </si>
  <si>
    <t xml:space="preserve">Tổ chức</t>
  </si>
  <si>
    <t xml:space="preserve">hospitals_end</t>
  </si>
  <si>
    <t xml:space="preserve">Số bệnh viện cuối năm</t>
  </si>
  <si>
    <t xml:space="preserve">cơ sở</t>
  </si>
  <si>
    <t xml:space="preserve">Năm 1 ưu tiên pilot; năm 2–3 mở rộng qua đối tác y tế.</t>
  </si>
  <si>
    <t xml:space="preserve">clinics_end</t>
  </si>
  <si>
    <t xml:space="preserve">Số phòng khám cuối năm</t>
  </si>
  <si>
    <t xml:space="preserve">Giả định theo chiến lược B2B2C</t>
  </si>
  <si>
    <t xml:space="preserve">new_hospitals</t>
  </si>
  <si>
    <t xml:space="preserve">Bệnh viện ký mới trong năm</t>
  </si>
  <si>
    <t xml:space="preserve">Giả định pipeline bán hàng</t>
  </si>
  <si>
    <t xml:space="preserve">new_clinics</t>
  </si>
  <si>
    <t xml:space="preserve">Phòng khám ký mới trong năm</t>
  </si>
  <si>
    <t xml:space="preserve">new_facilities</t>
  </si>
  <si>
    <t xml:space="preserve">Tổng cơ sở ký mới trong năm</t>
  </si>
  <si>
    <t xml:space="preserve">Tổng cơ sở ký mới</t>
  </si>
  <si>
    <t xml:space="preserve">avg_active_new_factor</t>
  </si>
  <si>
    <t xml:space="preserve">Tỷ lệ hoạt động bình quân của cơ sở ký mới</t>
  </si>
  <si>
    <t xml:space="preserve">Giả định ký hợp đồng đều trong năm</t>
  </si>
  <si>
    <t xml:space="preserve">patients_hospital</t>
  </si>
  <si>
    <t xml:space="preserve">Bệnh nhân trung bình / bệnh viện</t>
  </si>
  <si>
    <t xml:space="preserve">DIAPLUS.docx: 5.000–10.000 bệnh nhân/bệnh viện</t>
  </si>
  <si>
    <t xml:space="preserve">Tham chiếu DIA+</t>
  </si>
  <si>
    <t xml:space="preserve">patients_clinic</t>
  </si>
  <si>
    <t xml:space="preserve">Bệnh nhân trung bình / phòng khám</t>
  </si>
  <si>
    <t xml:space="preserve">Giả định ban đầu</t>
  </si>
  <si>
    <t xml:space="preserve">b2b_renewal</t>
  </si>
  <si>
    <t xml:space="preserve">Tỷ lệ gia hạn hợp đồng B2B</t>
  </si>
  <si>
    <t xml:space="preserve">C. GIÁ BÁN</t>
  </si>
  <si>
    <t xml:space="preserve">(r = 10%/năm, rf tháng = 10,47%)</t>
  </si>
  <si>
    <t xml:space="preserve">Giá bán</t>
  </si>
  <si>
    <t xml:space="preserve">premium_month</t>
  </si>
  <si>
    <t xml:space="preserve">Giá DIA+ Pro/ tháng</t>
  </si>
  <si>
    <t xml:space="preserve">VNĐ/tháng</t>
  </si>
  <si>
    <t xml:space="preserve">Giá khởi điểm phục vụ kiểm chứng willingness-to-pay.</t>
  </si>
  <si>
    <t xml:space="preserve">Đã kiểm chứng và báo giá</t>
  </si>
  <si>
    <t xml:space="preserve">premium_year</t>
  </si>
  <si>
    <t xml:space="preserve">Giá DIA+ Pro / năm</t>
  </si>
  <si>
    <t xml:space="preserve">VNĐ/năm</t>
  </si>
  <si>
    <t xml:space="preserve">Giả định giá khởi tạo – cần xác nhận</t>
  </si>
  <si>
    <t xml:space="preserve">clinic_month</t>
  </si>
  <si>
    <t xml:space="preserve">Giá DIA+ Clinic / tháng</t>
  </si>
  <si>
    <t xml:space="preserve">Giá DIA+ Clinic/năm</t>
  </si>
  <si>
    <t xml:space="preserve">deploy_hospital_fee</t>
  </si>
  <si>
    <t xml:space="preserve">Phí triển khai / bệnh viện (Doanh thu)</t>
  </si>
  <si>
    <t xml:space="preserve">VNĐ/cơ sở</t>
  </si>
  <si>
    <t xml:space="preserve">deploy_clinic_fee</t>
  </si>
  <si>
    <t xml:space="preserve">Phí triển khai / phòng khám (Doanh thu)</t>
  </si>
  <si>
    <t xml:space="preserve">training_fee</t>
  </si>
  <si>
    <t xml:space="preserve">Phí đào tạo / cơ sở</t>
  </si>
  <si>
    <t xml:space="preserve">api_fee</t>
  </si>
  <si>
    <t xml:space="preserve">Phí tích hợp API / hệ thống</t>
  </si>
  <si>
    <t xml:space="preserve">api_adoption</t>
  </si>
  <si>
    <t xml:space="preserve">Tỷ lệ cơ sở ký mới mua tích hợp API</t>
  </si>
  <si>
    <t xml:space="preserve">D. CHI PHÍ BIẾN ĐỔI</t>
  </si>
  <si>
    <t xml:space="preserve">Biến phí</t>
  </si>
  <si>
    <t xml:space="preserve">ai_cost_scan</t>
  </si>
  <si>
    <t xml:space="preserve">Chi phí AI/OCR / lượt</t>
  </si>
  <si>
    <t xml:space="preserve">VNĐ/lượt</t>
  </si>
  <si>
    <t xml:space="preserve">cloud_cost_mau</t>
  </si>
  <si>
    <t xml:space="preserve">Chi phí cloud / MAU / tháng</t>
  </si>
  <si>
    <t xml:space="preserve">VNĐ/người/tháng</t>
  </si>
  <si>
    <t xml:space="preserve">Giả định hạ tầng cloud theo mô hình tối ưu chi phí startup.</t>
  </si>
  <si>
    <t xml:space="preserve">storage_cost_mau</t>
  </si>
  <si>
    <t xml:space="preserve">Chi phí lưu trữ / MAU / tháng</t>
  </si>
  <si>
    <t xml:space="preserve">Giả định</t>
  </si>
  <si>
    <t xml:space="preserve">notify_cost_mau</t>
  </si>
  <si>
    <t xml:space="preserve">Chi phí SMS/email/push / MAU / tháng</t>
  </si>
  <si>
    <t xml:space="preserve">payment_fee</t>
  </si>
  <si>
    <t xml:space="preserve">Phí cổng thanh toán</t>
  </si>
  <si>
    <t xml:space="preserve">% doanh thu B2C</t>
  </si>
  <si>
    <t xml:space="preserve">support_cost_premium</t>
  </si>
  <si>
    <t xml:space="preserve">Hỗ trợ / Pro / tháng</t>
  </si>
  <si>
    <t xml:space="preserve">deploy_cost_hospital</t>
  </si>
  <si>
    <t xml:space="preserve">Chi phí triển khai / bệnh viện</t>
  </si>
  <si>
    <t xml:space="preserve">deploy_cost_clinic</t>
  </si>
  <si>
    <t xml:space="preserve">Chi phí triển khai / phòng khám</t>
  </si>
  <si>
    <t xml:space="preserve">sales_commission</t>
  </si>
  <si>
    <t xml:space="preserve">Hoa hồng bán hàng B2B</t>
  </si>
  <si>
    <t xml:space="preserve">% doanh thu B2B</t>
  </si>
  <si>
    <t xml:space="preserve">care_cost_facility</t>
  </si>
  <si>
    <t xml:space="preserve">CSKH / cơ sở / tháng</t>
  </si>
  <si>
    <t xml:space="preserve">VNĐ/cơ sở/tháng</t>
  </si>
  <si>
    <t xml:space="preserve">partner_cost_rate</t>
  </si>
  <si>
    <t xml:space="preserve">Chi phí đối tác</t>
  </si>
  <si>
    <t xml:space="preserve">% tổng doanh thu</t>
  </si>
  <si>
    <t xml:space="preserve">doctor_sessions</t>
  </si>
  <si>
    <t xml:space="preserve">Số phiên tư vấn bác sĩ / Pro / năm</t>
  </si>
  <si>
    <t xml:space="preserve">phiên</t>
  </si>
  <si>
    <t xml:space="preserve">doctor_cost_session</t>
  </si>
  <si>
    <t xml:space="preserve">Chi phí bác sĩ / phiên</t>
  </si>
  <si>
    <t xml:space="preserve">VNĐ/phiên</t>
  </si>
  <si>
    <t xml:space="preserve">E. THÔNG SỐ TÀI CHÍNH</t>
  </si>
  <si>
    <t xml:space="preserve">Tài chính</t>
  </si>
  <si>
    <t xml:space="preserve">tax_rate</t>
  </si>
  <si>
    <t xml:space="preserve">Thuế TNDN</t>
  </si>
  <si>
    <t xml:space="preserve">discount_rate</t>
  </si>
  <si>
    <t xml:space="preserve">Tỷ lệ chiết khấu</t>
  </si>
  <si>
    <t xml:space="preserve">debt_ratio</t>
  </si>
  <si>
    <t xml:space="preserve">Tỷ lệ vốn vay</t>
  </si>
  <si>
    <t xml:space="preserve">interest_rate</t>
  </si>
  <si>
    <t xml:space="preserve">Lãi suất vay</t>
  </si>
  <si>
    <t xml:space="preserve">%/năm</t>
  </si>
  <si>
    <t xml:space="preserve">equity_ratio</t>
  </si>
  <si>
    <t xml:space="preserve">Tỷ lệ vốn chủ sở hữu</t>
  </si>
  <si>
    <t xml:space="preserve">software_amort_years</t>
  </si>
  <si>
    <t xml:space="preserve">Phân bổ phần mềm bản quyền Microsoft 365 Family</t>
  </si>
  <si>
    <t xml:space="preserve">năm</t>
  </si>
  <si>
    <t xml:space="preserve">Giá tham khảo tại trang Microsoft chính hãng</t>
  </si>
  <si>
    <t xml:space="preserve">equipment_dep_years</t>
  </si>
  <si>
    <t xml:space="preserve">Khấu hao thiết bị</t>
  </si>
  <si>
    <t xml:space="preserve">project_life</t>
  </si>
  <si>
    <t xml:space="preserve">Vòng đời dự án</t>
  </si>
  <si>
    <t xml:space="preserve">min_wc_months</t>
  </si>
  <si>
    <t xml:space="preserve">Vốn lưu động tối thiểu</t>
  </si>
  <si>
    <t xml:space="preserve">tháng định phí</t>
  </si>
  <si>
    <t xml:space="preserve">salary_growth</t>
  </si>
  <si>
    <t xml:space="preserve">Tăng lương</t>
  </si>
  <si>
    <t xml:space="preserve">cloud_growth</t>
  </si>
  <si>
    <t xml:space="preserve">Tăng chi phí cloud</t>
  </si>
  <si>
    <t xml:space="preserve">marketing_growth</t>
  </si>
  <si>
    <t xml:space="preserve">Tăng chi phí marketing</t>
  </si>
  <si>
    <t xml:space="preserve">loan_term</t>
  </si>
  <si>
    <t xml:space="preserve">Thời hạn vay</t>
  </si>
  <si>
    <t xml:space="preserve">b2c_marketing_share</t>
  </si>
  <si>
    <t xml:space="preserve">Tỷ lệ marketing phân bổ B2C</t>
  </si>
  <si>
    <t xml:space="preserve">additional_capex</t>
  </si>
  <si>
    <t xml:space="preserve">Chi đầu tư bổ sung</t>
  </si>
  <si>
    <t xml:space="preserve">F. CHI PHÍ VẬN HÀNH CỐ ĐỊNH / THÁNG</t>
  </si>
  <si>
    <t xml:space="preserve">Định phí</t>
  </si>
  <si>
    <t xml:space="preserve">fix_tech</t>
  </si>
  <si>
    <t xml:space="preserve">Đội ngũ tinh gọn; founder kiêm nhiệm, tuyển theo cột mốc doanh thu.</t>
  </si>
  <si>
    <t xml:space="preserve">fix_product</t>
  </si>
  <si>
    <t xml:space="preserve">Lương sản phẩm và UI/UX</t>
  </si>
  <si>
    <t xml:space="preserve">fix_medical</t>
  </si>
  <si>
    <t xml:space="preserve">Lương chuyên môn y tế</t>
  </si>
  <si>
    <t xml:space="preserve">fix_sales</t>
  </si>
  <si>
    <t xml:space="preserve">Nhân sự kinh doanh B2B</t>
  </si>
  <si>
    <t xml:space="preserve">fix_marketing</t>
  </si>
  <si>
    <t xml:space="preserve">Marketing</t>
  </si>
  <si>
    <t xml:space="preserve">fix_cs</t>
  </si>
  <si>
    <t xml:space="preserve">Chăm sóc khách hàng</t>
  </si>
  <si>
    <t xml:space="preserve">fix_admin</t>
  </si>
  <si>
    <t xml:space="preserve">Kế toán và hành chính</t>
  </si>
  <si>
    <t xml:space="preserve">fix_office</t>
  </si>
  <si>
    <t xml:space="preserve">fix_tools</t>
  </si>
  <si>
    <t xml:space="preserve">Phần mềm và công cụ làm việc</t>
  </si>
  <si>
    <t xml:space="preserve">fix_security</t>
  </si>
  <si>
    <t xml:space="preserve">Kiểm tra bảo mật định kỳ</t>
  </si>
  <si>
    <t xml:space="preserve">fix_legal</t>
  </si>
  <si>
    <t xml:space="preserve">Pháp lý và tuân thủ dữ liệu</t>
  </si>
  <si>
    <t xml:space="preserve">fix_rd</t>
  </si>
  <si>
    <t xml:space="preserve">Nghiên cứu và phát triển</t>
  </si>
  <si>
    <t xml:space="preserve">fix_travel</t>
  </si>
  <si>
    <t xml:space="preserve">Đi lại, demo, làm việc bệnh viện</t>
  </si>
  <si>
    <t xml:space="preserve">fix_contingency</t>
  </si>
  <si>
    <t xml:space="preserve">Dự phòng vận hành</t>
  </si>
  <si>
    <t xml:space="preserve">G. CHI PHÍ ĐẦU TƯ BAN ĐẦU</t>
  </si>
  <si>
    <t xml:space="preserve">Đầu tư</t>
  </si>
  <si>
    <t xml:space="preserve">init_research_qty</t>
  </si>
  <si>
    <t xml:space="preserve">Nghiên cứu thị trường – Số lượng</t>
  </si>
  <si>
    <t xml:space="preserve">đơn vị</t>
  </si>
  <si>
    <t xml:space="preserve">init_research_price</t>
  </si>
  <si>
    <t xml:space="preserve">Nghiên cứu thị trường – Đơn giá</t>
  </si>
  <si>
    <t xml:space="preserve">VNĐ/đơn vị</t>
  </si>
  <si>
    <t xml:space="preserve">Giá nghiên cứu thị trường dao động từ $5000 - $15000</t>
  </si>
  <si>
    <t xml:space="preserve">init_security_storage_qty</t>
  </si>
  <si>
    <t xml:space="preserve">Bảo mật và lưu trữ thông tin - Số lượng</t>
  </si>
  <si>
    <t xml:space="preserve">init_security_storage_price</t>
  </si>
  <si>
    <t xml:space="preserve">Bảo mật và lưu trữ thông tin - Đơn giá </t>
  </si>
  <si>
    <t xml:space="preserve">init_infrastructure_qty</t>
  </si>
  <si>
    <t xml:space="preserve">Hạ tầng công nghệ - Số lượng</t>
  </si>
  <si>
    <t xml:space="preserve">init_infrastructure_price</t>
  </si>
  <si>
    <t xml:space="preserve">Hạ tầng công nghệ - Đơn giá</t>
  </si>
  <si>
    <t xml:space="preserve">init_ai_qty</t>
  </si>
  <si>
    <t xml:space="preserve">Tích hợp AI – Số lượng</t>
  </si>
  <si>
    <t xml:space="preserve">init_ai_price</t>
  </si>
  <si>
    <t xml:space="preserve">Tích hợp AI – Đơn giá</t>
  </si>
  <si>
    <t xml:space="preserve">init_testing_qty</t>
  </si>
  <si>
    <t xml:space="preserve">Kiểm thử phần mềm – Số lượng</t>
  </si>
  <si>
    <t xml:space="preserve">init_testing_price</t>
  </si>
  <si>
    <t xml:space="preserve">Kiểm thử phần mềm – Đơn giá</t>
  </si>
  <si>
    <t xml:space="preserve">init_security_qty</t>
  </si>
  <si>
    <t xml:space="preserve">Kiểm thử bảo mật – Số lượng</t>
  </si>
  <si>
    <t xml:space="preserve">init_security_price</t>
  </si>
  <si>
    <t xml:space="preserve">Kiểm thử bảo mật – Đơn giá</t>
  </si>
  <si>
    <t xml:space="preserve">init_trademark_qty</t>
  </si>
  <si>
    <t xml:space="preserve">Đăng ký thương hiệu – Số lượng</t>
  </si>
  <si>
    <t xml:space="preserve">init_trademark_price</t>
  </si>
  <si>
    <t xml:space="preserve">Đăng ký thương hiệu – Đơn giá</t>
  </si>
  <si>
    <t xml:space="preserve">cap_licenses_qty</t>
  </si>
  <si>
    <t xml:space="preserve">Bản quyền Microsoft 365 Family chính hãng (có AI Copilot) - Số lượng</t>
  </si>
  <si>
    <t xml:space="preserve">Giá được tham khảo tại thegioididong ngày 20/07/2026</t>
  </si>
  <si>
    <t xml:space="preserve">cap_licenses_price</t>
  </si>
  <si>
    <t xml:space="preserve">Bản quyền Microsoft 365 Family chính hãng (có AI Copilot) - Đơn giá</t>
  </si>
  <si>
    <t xml:space="preserve">Giá được tham khảo tại trang web chính thức của Microsoft</t>
  </si>
  <si>
    <t xml:space="preserve">init_business_registration_qty</t>
  </si>
  <si>
    <t xml:space="preserve">Đăng ký thành lập doanh nghiệp đầy đủ - Số lượng</t>
  </si>
  <si>
    <t xml:space="preserve">init_business_registration_price</t>
  </si>
  <si>
    <t xml:space="preserve">Đăng ký thành lập doanh nghiệp đầy đủ - Đơn giá</t>
  </si>
  <si>
    <t xml:space="preserve">init_medical_legal_consulting_qty</t>
  </si>
  <si>
    <t xml:space="preserve">Tư vấn pháp lý y tế - Số lượng</t>
  </si>
  <si>
    <t xml:space="preserve">init_medical_legal_consulting_price</t>
  </si>
  <si>
    <t xml:space="preserve">Tư vấn pháp lý y tế - Đơn giá</t>
  </si>
  <si>
    <t xml:space="preserve">init_app_copyright_qty</t>
  </si>
  <si>
    <t xml:space="preserve">Đăng ký bản quyền phần mềm app- Số lượng</t>
  </si>
  <si>
    <t xml:space="preserve">init_app_copyright_price
</t>
  </si>
  <si>
    <t xml:space="preserve">Đăng ký bản quyền phần mềm app - Đơn giá</t>
  </si>
  <si>
    <t xml:space="preserve">init_ecommerce_license_qty</t>
  </si>
  <si>
    <t xml:space="preserve">Giấy phép Thương mại điện tử (Bộ Công Thương) - Số lượng </t>
  </si>
  <si>
    <t xml:space="preserve">init_ecommerce_license_price</t>
  </si>
  <si>
    <t xml:space="preserve">Giấy phép Thương mại điện tử (Bộ Công Thương) - Đơn giá</t>
  </si>
  <si>
    <t xml:space="preserve">init_work_equipment_qty</t>
  </si>
  <si>
    <t xml:space="preserve">Thiết bị làm việc (laptop) – Số lượng</t>
  </si>
  <si>
    <t xml:space="preserve">init_work_equipment_price</t>
  </si>
  <si>
    <t xml:space="preserve">Thiết bị làm việc (laptop) – Đơn giá</t>
  </si>
  <si>
    <t xml:space="preserve">init_test_devices_qty</t>
  </si>
  <si>
    <t xml:space="preserve">Điện thoại iphone kiểm thử – Số lượng</t>
  </si>
  <si>
    <t xml:space="preserve">init_test_devices_price</t>
  </si>
  <si>
    <t xml:space="preserve">Điện thoại iphone kiểm thử – Đơn giá</t>
  </si>
  <si>
    <t xml:space="preserve">init_pilot_qty</t>
  </si>
  <si>
    <t xml:space="preserve">Thí điểm tại bệnh viện – Số lượng</t>
  </si>
  <si>
    <t xml:space="preserve">init_pilot_price</t>
  </si>
  <si>
    <t xml:space="preserve">Thí điểm tại bệnh viện – Đơn giá</t>
  </si>
  <si>
    <t xml:space="preserve">init_launch_marketing_qty</t>
  </si>
  <si>
    <t xml:space="preserve">Marketing ra mắt – Số lượng</t>
  </si>
  <si>
    <t xml:space="preserve">init_launch_marketing_price</t>
  </si>
  <si>
    <t xml:space="preserve">Marketing ra mắt – Đơn giá</t>
  </si>
  <si>
    <t xml:space="preserve">init_training_qty</t>
  </si>
  <si>
    <t xml:space="preserve">Đào tạo nhân sự – Số lượng</t>
  </si>
  <si>
    <t xml:space="preserve">init_training_price</t>
  </si>
  <si>
    <t xml:space="preserve">Đào tạo nhân sự – Đơn giá</t>
  </si>
  <si>
    <t xml:space="preserve">init_working_capital_qty</t>
  </si>
  <si>
    <t xml:space="preserve">Vốn lưu động ban đầu – Số lượng</t>
  </si>
  <si>
    <t xml:space="preserve">init_working_capital_price</t>
  </si>
  <si>
    <t xml:space="preserve">Vốn lưu động ban đầu – Đơn giá</t>
  </si>
  <si>
    <t xml:space="preserve">Vốn lưu động đủ khoảng 2 tháng định phí ở giai đoạn đầu.</t>
  </si>
  <si>
    <t xml:space="preserve">Cần kiểm chứng/báo giá</t>
  </si>
  <si>
    <t xml:space="preserve">init_contingency_qty</t>
  </si>
  <si>
    <t xml:space="preserve">Dự phòng chi phí phát sinh ban đầu – Số lượng</t>
  </si>
  <si>
    <t xml:space="preserve">init_contingency_price</t>
  </si>
  <si>
    <t xml:space="preserve">Dự phòng chi phí phát sinh ban đầu – Đơn giá</t>
  </si>
  <si>
    <t xml:space="preserve">H. DANH MỤC ĐẦU TƯ CHI TIẾT</t>
  </si>
  <si>
    <t xml:space="preserve">Danh mục đầu tư</t>
  </si>
  <si>
    <t xml:space="preserve">cap_laptop_qty</t>
  </si>
  <si>
    <t xml:space="preserve">Laptop phát triển – Số lượng</t>
  </si>
  <si>
    <t xml:space="preserve">cap_laptop_price</t>
  </si>
  <si>
    <t xml:space="preserve">Laptop phát triển – Đơn giá</t>
  </si>
  <si>
    <t xml:space="preserve">Dự kiến Laptop Lenovo LOQ giá tham khảo tại Thegioididong ngày 20/07/2026</t>
  </si>
  <si>
    <t xml:space="preserve">cap_android_qty</t>
  </si>
  <si>
    <t xml:space="preserve">Điện thoại Iphone test – Số lượng</t>
  </si>
  <si>
    <t xml:space="preserve">cap_android_price</t>
  </si>
  <si>
    <t xml:space="preserve">Điện thoại Iphone test– Đơn giá</t>
  </si>
  <si>
    <t xml:space="preserve">Giả định dự kiến dòng Iphone 14 - giá tham khảo tại CellphoneS</t>
  </si>
  <si>
    <t xml:space="preserve">cap_security_qty</t>
  </si>
  <si>
    <t xml:space="preserve">Bảo mật Đám mây (Cloudflare Pro / WAF) - Số lượng</t>
  </si>
  <si>
    <t xml:space="preserve">cap_security_price</t>
  </si>
  <si>
    <t xml:space="preserve">Bảo mật Đám mây (Cloudflare Pro / WAF) - Đơn giá</t>
  </si>
  <si>
    <t xml:space="preserve">cap_platform_qty</t>
  </si>
  <si>
    <t xml:space="preserve">Bảo trì hệ thống - dự trù chi phí phát sinh  – Số lượng</t>
  </si>
  <si>
    <t xml:space="preserve">cap_platform_price</t>
  </si>
  <si>
    <t xml:space="preserve">Bảo trì hệ thống - dự trù chi phí phát sinh  – Đơn giá</t>
  </si>
  <si>
    <t xml:space="preserve">Giả định – cần báo giá</t>
  </si>
  <si>
    <t xml:space="preserve">cap_ai_qty</t>
  </si>
  <si>
    <t xml:space="preserve">cap_ai_price</t>
  </si>
  <si>
    <t xml:space="preserve">Giá được tham khảo ngày 20/07/2026 tại trang web gemini.google.com và claude.ai</t>
  </si>
  <si>
    <t xml:space="preserve">cap_consulting_qty</t>
  </si>
  <si>
    <t xml:space="preserve">Tư vấn pháp lý và đăng ký kinh doanh – Số lượng</t>
  </si>
  <si>
    <t xml:space="preserve">cap_consulting_price</t>
  </si>
  <si>
    <t xml:space="preserve">Tư vấn bảo mật và đăng ký kinh doanh – Đơn giá</t>
  </si>
  <si>
    <t xml:space="preserve">I. THÔNG SỐ ĐỘ NHẠY</t>
  </si>
  <si>
    <t xml:space="preserve">Độ nhạy</t>
  </si>
  <si>
    <t xml:space="preserve">sens_m80</t>
  </si>
  <si>
    <t xml:space="preserve">Hệ số 80%</t>
  </si>
  <si>
    <t xml:space="preserve">hệ số</t>
  </si>
  <si>
    <t xml:space="preserve">sens_m90</t>
  </si>
  <si>
    <t xml:space="preserve">Hệ số 90%</t>
  </si>
  <si>
    <t xml:space="preserve">sens_m100</t>
  </si>
  <si>
    <t xml:space="preserve">Hệ số 100%</t>
  </si>
  <si>
    <t xml:space="preserve">sens_m110</t>
  </si>
  <si>
    <t xml:space="preserve">Hệ số 110%</t>
  </si>
  <si>
    <t xml:space="preserve">sens_m120</t>
  </si>
  <si>
    <t xml:space="preserve">Hệ số 120%</t>
  </si>
  <si>
    <t xml:space="preserve">DIA+ -  KẾ HOẠCH CHI PHÍ</t>
  </si>
  <si>
    <t xml:space="preserve">A. CHI PHÍ ĐẦU TƯ BAN ĐẦU</t>
  </si>
  <si>
    <t xml:space="preserve">Khoản mục</t>
  </si>
  <si>
    <t xml:space="preserve">Khấu hao / phân bổ?</t>
  </si>
  <si>
    <t xml:space="preserve">Thời gian phân bổ</t>
  </si>
  <si>
    <t xml:space="preserve">Phân loại</t>
  </si>
  <si>
    <t xml:space="preserve">GHI CHÚ</t>
  </si>
  <si>
    <t xml:space="preserve">Nghiên cứu thị trường</t>
  </si>
  <si>
    <t xml:space="preserve">Chi phí trước vận hành</t>
  </si>
  <si>
    <t xml:space="preserve">1. Năm 1 chưa thuê mặt bằng nên chưa định phí vào khoản này</t>
  </si>
  <si>
    <t xml:space="preserve">Hạ tầng công nghệ </t>
  </si>
  <si>
    <t xml:space="preserve">Tài sản phần mềm</t>
  </si>
  <si>
    <t xml:space="preserve">Phần mềm</t>
  </si>
  <si>
    <t xml:space="preserve">Kiểm thử phần mềm</t>
  </si>
  <si>
    <t xml:space="preserve">Đưa phần mềm vào trạng thái sẵn sàng</t>
  </si>
  <si>
    <t xml:space="preserve">Kiểm thử bảo mật</t>
  </si>
  <si>
    <t xml:space="preserve">Thiết bị làm việc (laptop)</t>
  </si>
  <si>
    <t xml:space="preserve">Thiết bị mạng, bảo mật, lưu trữ</t>
  </si>
  <si>
    <t xml:space="preserve">Tài sản hữu hình</t>
  </si>
  <si>
    <t xml:space="preserve">Điện thoại Iphone kiểm thử</t>
  </si>
  <si>
    <t xml:space="preserve">Laptop, điện thoại, thiết bị demo</t>
  </si>
  <si>
    <t xml:space="preserve">Thí điểm tại bệnh viện</t>
  </si>
  <si>
    <t xml:space="preserve">Chi phí thí điểm</t>
  </si>
  <si>
    <t xml:space="preserve">Marketing ra mắt</t>
  </si>
  <si>
    <t xml:space="preserve">Chi phí ra mắt</t>
  </si>
  <si>
    <t xml:space="preserve">Đào tạo nhân sự</t>
  </si>
  <si>
    <t xml:space="preserve">Vốn lưu động ban đầu</t>
  </si>
  <si>
    <t xml:space="preserve">Dự trữ tiền mặt</t>
  </si>
  <si>
    <t xml:space="preserve">Vốn lưu động</t>
  </si>
  <si>
    <t xml:space="preserve">Dự phòng đầu tư</t>
  </si>
  <si>
    <t xml:space="preserve">TỔNG ĐẦU TƯ BAN ĐẦU</t>
  </si>
  <si>
    <t xml:space="preserve">B. CHI PHÍ VẬN HÀNH CỐ ĐỊNH</t>
  </si>
  <si>
    <t xml:space="preserve">Tháng Năm 1</t>
  </si>
  <si>
    <t xml:space="preserve">Năm 1</t>
  </si>
  <si>
    <t xml:space="preserve">Tháng Năm 2</t>
  </si>
  <si>
    <t xml:space="preserve">Năm 2</t>
  </si>
  <si>
    <t xml:space="preserve">Tháng Năm 3</t>
  </si>
  <si>
    <t xml:space="preserve">Năm 3</t>
  </si>
  <si>
    <t xml:space="preserve">Nhóm P&amp;L</t>
  </si>
  <si>
    <t xml:space="preserve">Nhân sự</t>
  </si>
  <si>
    <t xml:space="preserve">Bán hàng &amp; QLDN</t>
  </si>
  <si>
    <t xml:space="preserve">Thuê văn phòng văn phòng co - working</t>
  </si>
  <si>
    <t xml:space="preserve">-</t>
  </si>
  <si>
    <t xml:space="preserve">Công nghệ</t>
  </si>
  <si>
    <t xml:space="preserve">- Thuê tư vấn pháp lý / Kiểm toán tuân thủ định kỳ (Retainer Fee)</t>
  </si>
  <si>
    <t xml:space="preserve">- Nhân sự phụ trách bảo vệ dữ liệu (DPO - Data Protection Officer)</t>
  </si>
  <si>
    <t xml:space="preserve">TỔNG ĐỊNH PHÍ</t>
  </si>
  <si>
    <t xml:space="preserve">C. CHI PHÍ BIẾN ĐỔI</t>
  </si>
  <si>
    <t xml:space="preserve">Cơ sở tính</t>
  </si>
  <si>
    <t xml:space="preserve">Nguồn</t>
  </si>
  <si>
    <t xml:space="preserve">AI/OCR</t>
  </si>
  <si>
    <t xml:space="preserve">MAU × lượt quét × giá/lượt</t>
  </si>
  <si>
    <t xml:space="preserve">VNĐ</t>
  </si>
  <si>
    <t xml:space="preserve">Liên kết DIA_Giả Định / DIA_Giá và Doanh Thu</t>
  </si>
  <si>
    <t xml:space="preserve">B2C nền tảng</t>
  </si>
  <si>
    <t xml:space="preserve">Cloud theo người dùng</t>
  </si>
  <si>
    <t xml:space="preserve">MAU × chi phí cloud/tháng</t>
  </si>
  <si>
    <t xml:space="preserve">Lưu trữ dữ liệu</t>
  </si>
  <si>
    <t xml:space="preserve">MAU × chi phí lưu trữ/tháng</t>
  </si>
  <si>
    <t xml:space="preserve">Phí thanh toán</t>
  </si>
  <si>
    <t xml:space="preserve">Doanh thu B2C × tỷ lệ phí</t>
  </si>
  <si>
    <t xml:space="preserve">B2C</t>
  </si>
  <si>
    <t xml:space="preserve">SMS/email/thông báo</t>
  </si>
  <si>
    <t xml:space="preserve">MAU × chi phí/tháng</t>
  </si>
  <si>
    <t xml:space="preserve">Hỗ trợ Pro</t>
  </si>
  <si>
    <t xml:space="preserve">Premium × phí hỗ trợ/tháng</t>
  </si>
  <si>
    <t xml:space="preserve">Triển khai cơ sở</t>
  </si>
  <si>
    <t xml:space="preserve">Cơ sở ký mới × chi phí theo loại</t>
  </si>
  <si>
    <t xml:space="preserve">B2B</t>
  </si>
  <si>
    <t xml:space="preserve">Hoa hồng bán hàng</t>
  </si>
  <si>
    <t xml:space="preserve">Doanh thu B2B × tỷ lệ</t>
  </si>
  <si>
    <t xml:space="preserve">Tổng doanh thu × tỷ lệ</t>
  </si>
  <si>
    <t xml:space="preserve">Chung</t>
  </si>
  <si>
    <t xml:space="preserve">Chăm sóc B2B</t>
  </si>
  <si>
    <t xml:space="preserve">Cơ sở bình quân × phí/tháng</t>
  </si>
  <si>
    <t xml:space="preserve">Tư vấn bác sĩ</t>
  </si>
  <si>
    <t xml:space="preserve">Premium × phiên × giá/phiên</t>
  </si>
  <si>
    <t xml:space="preserve">TỔNG BIẾN PHÍ</t>
  </si>
  <si>
    <t xml:space="preserve">TỔNG HỢP CHI PHÍ</t>
  </si>
  <si>
    <t xml:space="preserve">Tổng đầu tư ban đầu</t>
  </si>
  <si>
    <t xml:space="preserve">Tổng định phí vận hành</t>
  </si>
  <si>
    <t xml:space="preserve">Tổng biến phí</t>
  </si>
  <si>
    <t xml:space="preserve">Tổng chi phí vận hành</t>
  </si>
  <si>
    <t xml:space="preserve">DIA+ -  PHÂN TÍCH KỊCH BẢN &amp; ĐỘ NHẠY</t>
  </si>
  <si>
    <t xml:space="preserve">Ba kịch bản và bốn bảng độ nhạy được giữ nguyên; màu sắc và phân cấp tiêu đề được đồng bộ với mẫu YAMNUTRI.</t>
  </si>
  <si>
    <t xml:space="preserve">(giả định tỷ lệ giá vốn là 40%)</t>
  </si>
  <si>
    <t xml:space="preserve">SO SÁNH 3 KỊCH BẢN</t>
  </si>
  <si>
    <t xml:space="preserve">Chỉ tiêu</t>
  </si>
  <si>
    <t xml:space="preserve">Thận trọng</t>
  </si>
  <si>
    <t xml:space="preserve">Tích cực</t>
  </si>
  <si>
    <t xml:space="preserve">Tổng người dùng Năm 3</t>
  </si>
  <si>
    <t xml:space="preserve">Tỷ lệ chuyển đổi Premium Năm 3</t>
  </si>
  <si>
    <t xml:space="preserve">Số cơ sở B2B Năm 3</t>
  </si>
  <si>
    <t xml:space="preserve">Doanh thu 3 năm</t>
  </si>
  <si>
    <t xml:space="preserve">EBITDA 3 năm</t>
  </si>
  <si>
    <t xml:space="preserve">Lợi nhuận sau thuế 3 năm</t>
  </si>
  <si>
    <t xml:space="preserve">NPV</t>
  </si>
  <si>
    <t xml:space="preserve">IRR</t>
  </si>
  <si>
    <t xml:space="preserve">Thời gian hoàn vốn</t>
  </si>
  <si>
    <t xml:space="preserve">Nhu cầu vốn</t>
  </si>
  <si>
    <t xml:space="preserve">KHỐI TÍNH - THẬN TRỌNG</t>
  </si>
  <si>
    <t xml:space="preserve">KHỐI TÍNH - CƠ SỞ</t>
  </si>
  <si>
    <t xml:space="preserve">KHỐI TÍNH - TÍCH CỰC</t>
  </si>
  <si>
    <t xml:space="preserve">Đầu tư ban đầu</t>
  </si>
  <si>
    <t xml:space="preserve">Tổng người dùng</t>
  </si>
  <si>
    <t xml:space="preserve">MAU</t>
  </si>
  <si>
    <t xml:space="preserve">Người dùng Pro</t>
  </si>
  <si>
    <t xml:space="preserve">Cơ sở B2B cuối năm</t>
  </si>
  <si>
    <t xml:space="preserve">Cơ sở B2B bình quân</t>
  </si>
  <si>
    <t xml:space="preserve">Doanh thu B2C</t>
  </si>
  <si>
    <t xml:space="preserve">Doanh thu B2B</t>
  </si>
  <si>
    <t xml:space="preserve">Doanh thu triển khai</t>
  </si>
  <si>
    <t xml:space="preserve">Doanh thu dịch vụ</t>
  </si>
  <si>
    <t xml:space="preserve">Tổng doanh thu</t>
  </si>
  <si>
    <t xml:space="preserve">Chi phí biến đổi</t>
  </si>
  <si>
    <t xml:space="preserve">Chi phí cố định</t>
  </si>
  <si>
    <t xml:space="preserve">EBITDA</t>
  </si>
  <si>
    <t xml:space="preserve">Khấu hao &amp; phân bổ</t>
  </si>
  <si>
    <t xml:space="preserve">EBIT</t>
  </si>
  <si>
    <t xml:space="preserve">Thuế</t>
  </si>
  <si>
    <t xml:space="preserve">Lợi nhuận sau thuế</t>
  </si>
  <si>
    <t xml:space="preserve">Thay đổi vốn lưu động</t>
  </si>
  <si>
    <t xml:space="preserve">FCF</t>
  </si>
  <si>
    <t xml:space="preserve">FCF chiết khấu</t>
  </si>
  <si>
    <t xml:space="preserve">FCF lũy kế</t>
  </si>
  <si>
    <t xml:space="preserve">FCF chiết khấu lũy kế</t>
  </si>
  <si>
    <t xml:space="preserve">BẢNG ĐỘ NHẠY 2 CHIỀU — KỊCH BẢN CƠ SỞ</t>
  </si>
  <si>
    <t xml:space="preserve">1. Giá Premium × Chuyển đổi - Doanh thu B2C Năm 3</t>
  </si>
  <si>
    <t xml:space="preserve">2. Phí B2B × Số cơ sở -  B2B ARR Năm 3</t>
  </si>
  <si>
    <t xml:space="preserve">Giá PrO/tháng \ Tỷ lệ chuyển đổi</t>
  </si>
  <si>
    <t xml:space="preserve">Phí B2B bình quân/tháng \ Số cơ sở</t>
  </si>
  <si>
    <t xml:space="preserve">3. Chi phí AI/lượt × Lượt quét — Tổng chi phí AI Năm 3</t>
  </si>
  <si>
    <t xml:space="preserve">4. CAC × Churn — LTV/CAC B2C Năm 3</t>
  </si>
  <si>
    <t xml:space="preserve">Chi phí AI/lượt \ Lượt quét/MAU/tháng</t>
  </si>
  <si>
    <t xml:space="preserve">CAC B2C \ Churn/tháng</t>
  </si>
  <si>
    <t xml:space="preserve">DIA+ - HIỆU QUẢ TÀI CHÍNH 3 NĂM</t>
  </si>
  <si>
    <t xml:space="preserve">1. THÔNG SỐ</t>
  </si>
  <si>
    <t xml:space="preserve">Giá trị</t>
  </si>
  <si>
    <t xml:space="preserve">Liên kết DIA_Chi Phí / DIA_Giả Định</t>
  </si>
  <si>
    <t xml:space="preserve">Chi phí phát triển phần mềm được phân bổ</t>
  </si>
  <si>
    <t xml:space="preserve">Vốn vay</t>
  </si>
  <si>
    <t xml:space="preserve">Vốn chủ sở hữu</t>
  </si>
  <si>
    <t xml:space="preserve">Lãi suất</t>
  </si>
  <si>
    <t xml:space="preserve">Suất chiết khấu</t>
  </si>
  <si>
    <t xml:space="preserve">Thời gian phân bổ phần mềm</t>
  </si>
  <si>
    <t xml:space="preserve">2. KẾ HOẠCH TÀI CHÍNH</t>
  </si>
  <si>
    <t xml:space="preserve">2.1. Kế hoạch vay và trả nợ hàng năm</t>
  </si>
  <si>
    <t xml:space="preserve">Nợ đầu kỳ</t>
  </si>
  <si>
    <t xml:space="preserve">Lãi phát sinh</t>
  </si>
  <si>
    <t xml:space="preserve">Trả lãi</t>
  </si>
  <si>
    <t xml:space="preserve">Trả gốc</t>
  </si>
  <si>
    <t xml:space="preserve">Nợ cuối kỳ</t>
  </si>
  <si>
    <t xml:space="preserve">2.2. Kế hoạch thu nhập hàng năm</t>
  </si>
  <si>
    <t xml:space="preserve">Doanh thu triển khai &amp; dịch vụ</t>
  </si>
  <si>
    <t xml:space="preserve">Lợi nhuận gộp</t>
  </si>
  <si>
    <t xml:space="preserve">Gross Margin</t>
  </si>
  <si>
    <t xml:space="preserve">Chi phí nhân sự</t>
  </si>
  <si>
    <t xml:space="preserve">Chi phí marketing</t>
  </si>
  <si>
    <t xml:space="preserve">Chi phí công nghệ</t>
  </si>
  <si>
    <t xml:space="preserve">Chi phí bán hàng &amp; quản lý</t>
  </si>
  <si>
    <t xml:space="preserve">Biên EBITDA</t>
  </si>
  <si>
    <t xml:space="preserve">Khấu hao / phân bổ phần mềm</t>
  </si>
  <si>
    <t xml:space="preserve">Chi phí lãi vay</t>
  </si>
  <si>
    <t xml:space="preserve">Lợi nhuận trước thuế</t>
  </si>
  <si>
    <t xml:space="preserve">Net Profit Margin</t>
  </si>
  <si>
    <t xml:space="preserve">2.3. Dòng tiền</t>
  </si>
  <si>
    <t xml:space="preserve">Năm 0</t>
  </si>
  <si>
    <t xml:space="preserve">Dòng tiền đầu tư ban đầu</t>
  </si>
  <si>
    <t xml:space="preserve">Dòng tiền từ hoạt động kinh doanh</t>
  </si>
  <si>
    <t xml:space="preserve">Dòng tiền vay</t>
  </si>
  <si>
    <t xml:space="preserve">Vốn chủ sở hữu góp</t>
  </si>
  <si>
    <t xml:space="preserve">Trả nợ gốc</t>
  </si>
  <si>
    <t xml:space="preserve">Dòng tiền ròng</t>
  </si>
  <si>
    <t xml:space="preserve">Dòng tiền lũy kế</t>
  </si>
  <si>
    <t xml:space="preserve">Dòng tiền dự án (FCF)</t>
  </si>
  <si>
    <t xml:space="preserve">3. HIỆU QUẢ TÀI CHÍNH</t>
  </si>
  <si>
    <t xml:space="preserve">3.1. NPV, IRR, hoàn vốn và điểm hòa vốn</t>
  </si>
  <si>
    <t xml:space="preserve">Diễn giải</t>
  </si>
  <si>
    <t xml:space="preserve">Đánh giá</t>
  </si>
  <si>
    <t xml:space="preserve">Kết luận</t>
  </si>
  <si>
    <t xml:space="preserve">Kết quả thay đổi theo kịch bản và giả định.</t>
  </si>
  <si>
    <t xml:space="preserve">Thời gian hoàn vốn chưa chiết khấu</t>
  </si>
  <si>
    <t xml:space="preserve">Hoàn vốn</t>
  </si>
  <si>
    <t xml:space="preserve">Thời gian hoàn vốn có chiết khấu</t>
  </si>
  <si>
    <t xml:space="preserve">Dòng tiền</t>
  </si>
  <si>
    <t xml:space="preserve">ROI</t>
  </si>
  <si>
    <t xml:space="preserve">Biên lợi nhuận gộp</t>
  </si>
  <si>
    <t xml:space="preserve">Biên lợi nhuận ròng</t>
  </si>
  <si>
    <t xml:space="preserve">Burn Rate bình quân / tháng</t>
  </si>
  <si>
    <t xml:space="preserve">Runway</t>
  </si>
  <si>
    <t xml:space="preserve">Điểm hòa vốn doanh thu</t>
  </si>
  <si>
    <t xml:space="preserve">Điểm hòa vốn số người dùng Premium</t>
  </si>
  <si>
    <t xml:space="preserve">Điểm hòa vốn số cơ sở B2B</t>
  </si>
  <si>
    <t xml:space="preserve">3.2. Unit Economics</t>
  </si>
  <si>
    <t xml:space="preserve">CAC người dùng Premium</t>
  </si>
  <si>
    <t xml:space="preserve">CAC khách hàng B2B</t>
  </si>
  <si>
    <t xml:space="preserve">LTV người dùng Premium (12 tháng)</t>
  </si>
  <si>
    <t xml:space="preserve">LTV khách hàng B2B (24 tháng)</t>
  </si>
  <si>
    <t xml:space="preserve">LTV/CAC B2C</t>
  </si>
  <si>
    <t xml:space="preserve">LTV/CAC B2B</t>
  </si>
  <si>
    <t xml:space="preserve">Contribution Margin / người dùng Premium</t>
  </si>
  <si>
    <t xml:space="preserve">Contribution Margin / cơ sở y tế</t>
  </si>
  <si>
    <t xml:space="preserve">Thời gian hoàn vốn CAC B2C</t>
  </si>
  <si>
    <t xml:space="preserve">Thời gian hoàn vốn CAC B2B</t>
  </si>
  <si>
    <t xml:space="preserve">Kịch bản</t>
  </si>
  <si>
    <t xml:space="preserve">Tên gói</t>
  </si>
  <si>
    <t xml:space="preserve">Đối tượng khách hàng</t>
  </si>
  <si>
    <t xml:space="preserve">Giá niêm yết
Năm 1</t>
  </si>
  <si>
    <t xml:space="preserve">Chu kỳ thanh toán</t>
  </si>
  <si>
    <t xml:space="preserve">Chiết khấu</t>
  </si>
  <si>
    <t xml:space="preserve">Giá thực thu
Năm 1</t>
  </si>
  <si>
    <t xml:space="preserve">Khách hàng
Năm 1</t>
  </si>
  <si>
    <t xml:space="preserve">Khách hàng
Năm 2</t>
  </si>
  <si>
    <t xml:space="preserve">Khách hàng
Năm 3</t>
  </si>
  <si>
    <t xml:space="preserve">Doanh thu
Năm 1</t>
  </si>
  <si>
    <t xml:space="preserve">Doanh thu
Năm 2</t>
  </si>
  <si>
    <t xml:space="preserve">Doanh thu
Năm 3</t>
  </si>
  <si>
    <t xml:space="preserve">Tỷ trọng DT
Năm 1</t>
  </si>
  <si>
    <t xml:space="preserve">Tỷ trọng DT
Năm 2</t>
  </si>
  <si>
    <t xml:space="preserve">Tỷ trọng DT
Năm 3</t>
  </si>
  <si>
    <t xml:space="preserve">DIA+ Free</t>
  </si>
  <si>
    <t xml:space="preserve">Người dùng cá nhân</t>
  </si>
  <si>
    <t xml:space="preserve">Miễn phí</t>
  </si>
  <si>
    <t xml:space="preserve">Phễu thu hút người dùng; không tạo doanh thu trực tiếp. Tính năng cơ bản gồm ghi nhận glucose và nhắc thuốc.</t>
  </si>
  <si>
    <t xml:space="preserve">DIA+ Pro/Tháng</t>
  </si>
  <si>
    <t xml:space="preserve">Tháng</t>
  </si>
  <si>
    <t xml:space="preserve">Doanh thu định kỳ B2C theo tháng; số khách hàng = người dùng Premium × tỷ trọng trả tháng.</t>
  </si>
  <si>
    <t xml:space="preserve">DIA+ Pro/Năm</t>
  </si>
  <si>
    <t xml:space="preserve">Năm</t>
  </si>
  <si>
    <t xml:space="preserve">Doanh thu định kỳ B2C theo năm; mức chiết khấu được tính từ giá tháng và giá năm trong sheet giả định.</t>
  </si>
  <si>
    <t xml:space="preserve">DIA+ Clinic/Tháng</t>
  </si>
  <si>
    <t xml:space="preserve">Phòng khám, Bệnh viện, Trung tâm y tế</t>
  </si>
  <si>
    <t xml:space="preserve">Thuê bao SaaS cho phòng khám; số cơ sở hoạt động bình quân phản ánh thời điểm ký mới trong năm.</t>
  </si>
  <si>
    <t xml:space="preserve">DIA+ Clinic/Năm</t>
  </si>
  <si>
    <t xml:space="preserve">Thuê bao SaaS cho bệnh viện; gồm quản lý bệnh nhân từ xa, cảnh báo và chia sẻ dữ liệu với bác sĩ.</t>
  </si>
  <si>
    <t xml:space="preserve">Phí triển khai/bệnh viện</t>
  </si>
  <si>
    <t xml:space="preserve">Cơ sở ký mới</t>
  </si>
  <si>
    <t xml:space="preserve">Một lần</t>
  </si>
  <si>
    <t xml:space="preserve">Doanh thu một lần = số cơ sở ký mới × phí triển khai theo từng loại cơ sở.</t>
  </si>
  <si>
    <t xml:space="preserve">Phí triển khai/phòng khám</t>
  </si>
  <si>
    <t xml:space="preserve">Phí đào tạo</t>
  </si>
  <si>
    <t xml:space="preserve">Doanh thu dịch vụ một lần = số cơ sở ký mới × phí đào tạo.</t>
  </si>
  <si>
    <t xml:space="preserve">Phí tích hợp hệ thống/API</t>
  </si>
  <si>
    <t xml:space="preserve">Cơ sở mua tích hợp</t>
  </si>
  <si>
    <t xml:space="preserve">Doanh thu tích hợp = số cơ sở ký mới × tỷ lệ mua API × phí tích hợp hệ thống.</t>
  </si>
  <si>
    <t xml:space="preserve">TỔNG HỢP DOANH THU &amp; CHỈ SỐ SaaS</t>
  </si>
  <si>
    <t xml:space="preserve">Doanh thu định kỳ B2C</t>
  </si>
  <si>
    <t xml:space="preserve">Doanh thu định kỳ B2B</t>
  </si>
  <si>
    <t xml:space="preserve">Doanh thu triển khai một lần/bệnh viện</t>
  </si>
  <si>
    <t xml:space="preserve">Doanh thu triển khai một lần/phòng khám</t>
  </si>
  <si>
    <t xml:space="preserve">Doanh thu dịch vụ khác</t>
  </si>
  <si>
    <t xml:space="preserve">ARPU B2C / tháng - Doanh thu trung bình trên 1 người dùng mỗi tháng</t>
  </si>
  <si>
    <t xml:space="preserve">ARPU B2B / tháng - Doanh thu trung bình trên một khách hàng doanh nghiệp mỗi tháng</t>
  </si>
  <si>
    <t xml:space="preserve">MRR (Monthly Recurring Revenue - Doanh thu định kỳ hàng tháng)</t>
  </si>
  <si>
    <t xml:space="preserve">ARR  (Annual Recurring Revenue - Doanh thu định kỳ hàng năm)</t>
  </si>
  <si>
    <t xml:space="preserve">Tăng trưởng doanh thu</t>
  </si>
  <si>
    <t xml:space="preserve">Tỷ lệ doanh thu định kỳ</t>
  </si>
  <si>
    <t xml:space="preserve">Doanh thu / MAU</t>
  </si>
  <si>
    <t xml:space="preserve">DIA+ - DASHBOARD TÀI CHÍNH 3 NĂM</t>
  </si>
  <si>
    <t xml:space="preserve">Kịch bản thi khởi nghiệp: Lean MVP → Pilot y tế → Mở rộng B2B2C</t>
  </si>
  <si>
    <t xml:space="preserve">KPI VẬN HÀNH &amp; TÀI CHÍNH</t>
  </si>
  <si>
    <t xml:space="preserve">CHỈ SỐ NHÀ ĐẦU TƯ</t>
  </si>
  <si>
    <t xml:space="preserve">Người dùng hoạt động</t>
  </si>
  <si>
    <t xml:space="preserve">Doanh thu hòa vốn</t>
  </si>
  <si>
    <t xml:space="preserve">CAC B2C Năm 3</t>
  </si>
  <si>
    <t xml:space="preserve">LTV B2C 12T Năm 3</t>
  </si>
  <si>
    <t xml:space="preserve">Số cơ sở y tế</t>
  </si>
  <si>
    <t xml:space="preserve">Burn Rate</t>
  </si>
  <si>
    <t xml:space="preserve">Doanh thu</t>
  </si>
  <si>
    <t xml:space="preserve">CAC B2B Năm 3</t>
  </si>
  <si>
    <t xml:space="preserve">ARR</t>
  </si>
  <si>
    <t xml:space="preserve">LTV B2B 24T Năm 3</t>
  </si>
  <si>
    <t xml:space="preserve">Tổng chi phí</t>
  </si>
  <si>
    <t xml:space="preserve">Vốn gọi đề xuất</t>
  </si>
  <si>
    <t xml:space="preserve">KẾT LUẬN TỰ ĐỘNG</t>
  </si>
  <si>
    <t xml:space="preserve">Hiệu quả tài chính</t>
  </si>
  <si>
    <t xml:space="preserve">Hòa vốn</t>
  </si>
  <si>
    <t xml:space="preserve">Khuyến nghị tổng hợp</t>
  </si>
  <si>
    <t xml:space="preserve">Cơ cấu doanh thu Năm 3</t>
  </si>
  <si>
    <t xml:space="preserve">Triển khai &amp; dịch vụ</t>
  </si>
  <si>
    <t xml:space="preserve">Pro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</si>
</sst>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;[RED]\(#,##0\);\-"/>
    <numFmt numFmtId="166" formatCode="#,##0&quot; ₫&quot;;[RED]\(#,##0&quot; ₫)&quot;;\-"/>
    <numFmt numFmtId="167" formatCode="0.0&quot; năm&quot;"/>
    <numFmt numFmtId="168" formatCode="#,##0"/>
    <numFmt numFmtId="169" formatCode="#,##0.00"/>
    <numFmt numFmtId="170" formatCode="0.0%;[RED]\(0.0%\);\-"/>
    <numFmt numFmtId="171" formatCode="0%"/>
    <numFmt numFmtId="172" formatCode="0.0%"/>
    <numFmt numFmtId="173" formatCode="0.00%"/>
    <numFmt numFmtId="174" formatCode="0.0&quot; tháng&quot;"/>
    <numFmt numFmtId="175" formatCode="0.0\x"/>
    <numFmt numFmtId="176" formatCode="0.0;[RED]\(0.0\);\-"/>
  </numFmts>
  <fonts count="52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Times New Roman"/>
      <family val="0"/>
      <charset val="1"/>
    </font>
    <font>
      <sz val="14"/>
      <color theme="1"/>
      <name val="Times New Roman"/>
      <family val="0"/>
      <charset val="1"/>
    </font>
    <font>
      <sz val="14"/>
      <color rgb="FF000000"/>
      <name val="Times New Roman"/>
      <family val="0"/>
      <charset val="1"/>
    </font>
    <font>
      <b val="true"/>
      <sz val="14"/>
      <color rgb="FF000000"/>
      <name val="Times New Roman"/>
      <family val="0"/>
      <charset val="1"/>
    </font>
    <font>
      <sz val="14"/>
      <color rgb="FF008000"/>
      <name val="Times New Roman"/>
      <family val="0"/>
      <charset val="1"/>
    </font>
    <font>
      <sz val="11"/>
      <color theme="1"/>
      <name val="Calibri"/>
      <family val="0"/>
      <charset val="1"/>
    </font>
    <font>
      <u val="single"/>
      <sz val="14"/>
      <color rgb="FF000000"/>
      <name val="Times New Roman"/>
      <family val="0"/>
      <charset val="1"/>
    </font>
    <font>
      <sz val="14"/>
      <color rgb="FF274E13"/>
      <name val="Times New Roman"/>
      <family val="0"/>
      <charset val="1"/>
    </font>
    <font>
      <sz val="14"/>
      <color rgb="FFFF0000"/>
      <name val="Times New Roman"/>
      <family val="0"/>
      <charset val="1"/>
    </font>
    <font>
      <b val="true"/>
      <sz val="20"/>
      <color rgb="FFFFFFFF"/>
      <name val="Times New Roman"/>
      <family val="0"/>
      <charset val="1"/>
    </font>
    <font>
      <b val="true"/>
      <sz val="14"/>
      <color theme="1"/>
      <name val="Times New Roman"/>
      <family val="0"/>
      <charset val="1"/>
    </font>
    <font>
      <b val="true"/>
      <sz val="14"/>
      <color rgb="FF0000FF"/>
      <name val="Times New Roman"/>
      <family val="0"/>
      <charset val="1"/>
    </font>
    <font>
      <i val="true"/>
      <sz val="14"/>
      <color rgb="FF000000"/>
      <name val="Times New Roman"/>
      <family val="0"/>
      <charset val="1"/>
    </font>
    <font>
      <b val="true"/>
      <sz val="14"/>
      <color rgb="FFC00000"/>
      <name val="Times New Roman"/>
      <family val="0"/>
      <charset val="1"/>
    </font>
    <font>
      <b val="true"/>
      <sz val="14"/>
      <color rgb="FFFFFFFF"/>
      <name val="Times New Roman"/>
      <family val="0"/>
      <charset val="1"/>
    </font>
    <font>
      <b val="true"/>
      <sz val="16"/>
      <color rgb="FFFFFFFF"/>
      <name val="Times New Roman"/>
      <family val="0"/>
      <charset val="1"/>
    </font>
    <font>
      <sz val="16"/>
      <color theme="1"/>
      <name val="Times New Roman"/>
      <family val="0"/>
      <charset val="1"/>
    </font>
    <font>
      <i val="true"/>
      <sz val="16"/>
      <color rgb="FF666666"/>
      <name val="Times New Roman"/>
      <family val="0"/>
      <charset val="1"/>
    </font>
    <font>
      <b val="true"/>
      <sz val="16"/>
      <color rgb="FF000000"/>
      <name val="Times New Roman"/>
      <family val="0"/>
      <charset val="1"/>
    </font>
    <font>
      <sz val="16"/>
      <color rgb="FF000000"/>
      <name val="Times New Roman"/>
      <family val="0"/>
      <charset val="1"/>
    </font>
    <font>
      <sz val="16"/>
      <color rgb="FF008000"/>
      <name val="Times New Roman"/>
      <family val="0"/>
      <charset val="1"/>
    </font>
    <font>
      <b val="true"/>
      <sz val="16"/>
      <color rgb="FFFF0000"/>
      <name val="Times New Roman"/>
      <family val="0"/>
      <charset val="1"/>
    </font>
    <font>
      <sz val="14"/>
      <color rgb="FF2E7D32"/>
      <name val="Times New Roman"/>
      <family val="0"/>
      <charset val="1"/>
    </font>
    <font>
      <sz val="17"/>
      <color rgb="FF000000"/>
      <name val="Times New Roman"/>
      <family val="0"/>
      <charset val="1"/>
    </font>
    <font>
      <i val="true"/>
      <sz val="14"/>
      <color rgb="FF666666"/>
      <name val="Times New Roman"/>
      <family val="0"/>
      <charset val="1"/>
    </font>
    <font>
      <sz val="14"/>
      <color rgb="FFFFFFFF"/>
      <name val="Times New Roman"/>
      <family val="0"/>
      <charset val="1"/>
    </font>
    <font>
      <b val="true"/>
      <sz val="14"/>
      <color rgb="FF0B3B70"/>
      <name val="Times New Roman"/>
      <family val="0"/>
      <charset val="1"/>
    </font>
    <font>
      <b val="true"/>
      <sz val="15"/>
      <color rgb="FFFFFFFF"/>
      <name val="Times New Roman"/>
      <family val="0"/>
      <charset val="1"/>
    </font>
    <font>
      <sz val="15"/>
      <color theme="1"/>
      <name val="Times New Roman"/>
      <family val="0"/>
      <charset val="1"/>
    </font>
    <font>
      <b val="true"/>
      <sz val="15"/>
      <color rgb="FF000000"/>
      <name val="Times New Roman"/>
      <family val="0"/>
      <charset val="1"/>
    </font>
    <font>
      <sz val="15"/>
      <color rgb="FF000000"/>
      <name val="Times New Roman"/>
      <family val="0"/>
      <charset val="1"/>
    </font>
    <font>
      <sz val="15"/>
      <color rgb="FF008000"/>
      <name val="Times New Roman"/>
      <family val="0"/>
      <charset val="1"/>
    </font>
    <font>
      <b val="true"/>
      <sz val="15"/>
      <color rgb="FF1F4E78"/>
      <name val="Times New Roman"/>
      <family val="0"/>
      <charset val="1"/>
    </font>
    <font>
      <b val="true"/>
      <sz val="15"/>
      <color rgb="FF0B3B70"/>
      <name val="Times New Roman"/>
      <family val="0"/>
      <charset val="1"/>
    </font>
    <font>
      <b val="true"/>
      <sz val="15"/>
      <color rgb="FFFF0000"/>
      <name val="Times New Roman"/>
      <family val="0"/>
      <charset val="1"/>
    </font>
    <font>
      <b val="true"/>
      <sz val="15"/>
      <color theme="1"/>
      <name val="Times New Roman"/>
      <family val="0"/>
      <charset val="1"/>
    </font>
    <font>
      <b val="true"/>
      <sz val="15"/>
      <color rgb="FF008000"/>
      <name val="Times New Roman"/>
      <family val="0"/>
      <charset val="1"/>
    </font>
    <font>
      <b val="true"/>
      <sz val="26"/>
      <color rgb="FFFFFFFF"/>
      <name val="Times New Roman"/>
      <family val="1"/>
      <charset val="1"/>
    </font>
    <font>
      <b val="true"/>
      <sz val="14"/>
      <color rgb="FFFF0000"/>
      <name val="Times New Roman"/>
      <family val="0"/>
      <charset val="1"/>
    </font>
    <font>
      <b val="true"/>
      <i val="true"/>
      <sz val="14"/>
      <color rgb="FF1F4E78"/>
      <name val="Times New Roman"/>
      <family val="0"/>
      <charset val="1"/>
    </font>
    <font>
      <b val="true"/>
      <sz val="14"/>
      <color rgb="FF008000"/>
      <name val="Times New Roman"/>
      <family val="0"/>
      <charset val="1"/>
    </font>
    <font>
      <b val="true"/>
      <sz val="14"/>
      <color rgb="FF006100"/>
      <name val="Times New Roman"/>
      <family val="0"/>
      <charset val="1"/>
    </font>
    <font>
      <b val="true"/>
      <sz val="14"/>
      <color rgb="FF9C6500"/>
      <name val="Times New Roman"/>
      <family val="0"/>
      <charset val="1"/>
    </font>
    <font>
      <b val="true"/>
      <sz val="14"/>
      <color rgb="FF1F4E78"/>
      <name val="Times New Roman"/>
      <family val="0"/>
      <charset val="1"/>
    </font>
    <font>
      <i val="true"/>
      <sz val="14"/>
      <color rgb="FF0B3B70"/>
      <name val="Times New Roman"/>
      <family val="0"/>
      <charset val="1"/>
    </font>
    <font>
      <sz val="18"/>
      <color rgb="FF757575"/>
      <name val="Calibri"/>
      <family val="2"/>
    </font>
    <font>
      <sz val="10"/>
      <color rgb="FF000000"/>
      <name val="Calibri"/>
      <family val="2"/>
    </font>
    <font>
      <sz val="10"/>
      <color rgb="FF1A1A1A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244061"/>
        <bgColor rgb="FF1F4E78"/>
      </patternFill>
    </fill>
    <fill>
      <patternFill patternType="solid">
        <fgColor rgb="FFFFFFFF"/>
        <bgColor rgb="FFF7FBFF"/>
      </patternFill>
    </fill>
    <fill>
      <patternFill patternType="solid">
        <fgColor rgb="FFBDD7EE"/>
        <bgColor rgb="FFC1E5F5"/>
      </patternFill>
    </fill>
    <fill>
      <patternFill patternType="solid">
        <fgColor rgb="FF93C47D"/>
        <bgColor rgb="FFB7B7B7"/>
      </patternFill>
    </fill>
    <fill>
      <patternFill patternType="solid">
        <fgColor rgb="FFFFE599"/>
        <bgColor rgb="FFFFD966"/>
      </patternFill>
    </fill>
    <fill>
      <patternFill patternType="solid">
        <fgColor rgb="FFF2F2F2"/>
        <bgColor rgb="FFEEF5FB"/>
      </patternFill>
    </fill>
    <fill>
      <patternFill patternType="solid">
        <fgColor rgb="FFFFD966"/>
        <bgColor rgb="FFFFE599"/>
      </patternFill>
    </fill>
    <fill>
      <patternFill patternType="solid">
        <fgColor rgb="FFFF9900"/>
        <bgColor rgb="FFF1C232"/>
      </patternFill>
    </fill>
    <fill>
      <patternFill patternType="solid">
        <fgColor rgb="FFFFF2CC"/>
        <bgColor rgb="FFFDE9E7"/>
      </patternFill>
    </fill>
    <fill>
      <patternFill patternType="solid">
        <fgColor rgb="FFE2F0D9"/>
        <bgColor rgb="FFE8F5E9"/>
      </patternFill>
    </fill>
    <fill>
      <patternFill patternType="solid">
        <fgColor rgb="FFF9F9F9"/>
        <bgColor rgb="FFF7FBFF"/>
      </patternFill>
    </fill>
    <fill>
      <patternFill patternType="solid">
        <fgColor rgb="FFFCE4D6"/>
        <bgColor rgb="FFFDE9E7"/>
      </patternFill>
    </fill>
    <fill>
      <patternFill patternType="solid">
        <fgColor rgb="FFB7E1CD"/>
        <bgColor rgb="FFBDD7EE"/>
      </patternFill>
    </fill>
    <fill>
      <patternFill patternType="solid">
        <fgColor rgb="FFFFFF00"/>
        <bgColor rgb="FFFFD966"/>
      </patternFill>
    </fill>
    <fill>
      <patternFill patternType="solid">
        <fgColor rgb="FFFF0000"/>
        <bgColor rgb="FFC00000"/>
      </patternFill>
    </fill>
    <fill>
      <patternFill patternType="solid">
        <fgColor rgb="FFF1C232"/>
        <bgColor rgb="FFD6B656"/>
      </patternFill>
    </fill>
    <fill>
      <patternFill patternType="solid">
        <fgColor rgb="FF1F4E78"/>
        <bgColor rgb="FF1C4587"/>
      </patternFill>
    </fill>
    <fill>
      <patternFill patternType="solid">
        <fgColor rgb="FF1C4587"/>
        <bgColor rgb="FF1F4E78"/>
      </patternFill>
    </fill>
    <fill>
      <patternFill patternType="solid">
        <fgColor rgb="FF3D85C6"/>
        <bgColor rgb="FF156082"/>
      </patternFill>
    </fill>
    <fill>
      <patternFill patternType="solid">
        <fgColor rgb="FF00FF00"/>
        <bgColor rgb="FF008000"/>
      </patternFill>
    </fill>
    <fill>
      <patternFill patternType="solid">
        <fgColor theme="4" tint="0.7999"/>
        <bgColor rgb="FFBDD7EE"/>
      </patternFill>
    </fill>
    <fill>
      <patternFill patternType="solid">
        <fgColor rgb="FFD9EAF7"/>
        <bgColor rgb="FFDDEBF7"/>
      </patternFill>
    </fill>
    <fill>
      <patternFill patternType="solid">
        <fgColor rgb="FFD9E1F2"/>
        <bgColor rgb="FFD9EAF7"/>
      </patternFill>
    </fill>
    <fill>
      <patternFill patternType="solid">
        <fgColor rgb="FFEEF5FB"/>
        <bgColor rgb="FFF2F2F2"/>
      </patternFill>
    </fill>
    <fill>
      <patternFill patternType="solid">
        <fgColor rgb="FF0B5394"/>
        <bgColor rgb="FF156082"/>
      </patternFill>
    </fill>
    <fill>
      <patternFill patternType="solid">
        <fgColor rgb="FFF7FBFF"/>
        <bgColor rgb="FFF9F9F9"/>
      </patternFill>
    </fill>
    <fill>
      <patternFill patternType="solid">
        <fgColor rgb="FFE8F5E9"/>
        <bgColor rgb="FFF2F2F2"/>
      </patternFill>
    </fill>
    <fill>
      <patternFill patternType="solid">
        <fgColor rgb="FFDDEBF7"/>
        <bgColor rgb="FFD9EAF7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double">
        <color rgb="FF1F4E78"/>
      </bottom>
      <diagonal/>
    </border>
    <border diagonalUp="false" diagonalDown="false">
      <left/>
      <right/>
      <top style="thin">
        <color rgb="FFBFBFBF"/>
      </top>
      <bottom style="double">
        <color rgb="FF1F4E78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double">
        <color rgb="FF1F4E78"/>
      </bottom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AFC7DA"/>
      </left>
      <right style="thin">
        <color rgb="FFAFC7DA"/>
      </right>
      <top style="thin">
        <color rgb="FFAFC7DA"/>
      </top>
      <bottom style="thin">
        <color rgb="FFAFC7DA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0B3B70"/>
      </left>
      <right style="thin">
        <color rgb="FF0B3B70"/>
      </right>
      <top style="thin">
        <color rgb="FF0B3B70"/>
      </top>
      <bottom style="thin">
        <color rgb="FF0B3B70"/>
      </bottom>
      <diagonal/>
    </border>
    <border diagonalUp="false" diagonalDown="false"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13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6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6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5" fillId="1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0" fontId="5" fillId="11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6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14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6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6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6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6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6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6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6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6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1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6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6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4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4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24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7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5" fillId="7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2" fillId="7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3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7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2" fillId="7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16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6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0" fillId="2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7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6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3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3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3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2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38" fillId="2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0" fillId="2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6" fillId="2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37" fillId="2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4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5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3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3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6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27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7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6" fillId="27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6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1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6" fillId="1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6" fillId="16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1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2" fillId="7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7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7" fillId="7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3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28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8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8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11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6" fillId="1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7" fillId="29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2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1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B7E1CD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1C232"/>
          <bgColor rgb="FF000000"/>
        </patternFill>
      </fill>
    </dxf>
    <dxf>
      <fill>
        <patternFill patternType="solid">
          <fgColor rgb="FFFF99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9F9F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B7E1CD"/>
        </patternFill>
      </fill>
    </dxf>
    <dxf>
      <font>
        <b val="1"/>
        <color rgb="FFFF0000"/>
      </font>
      <fill>
        <patternFill>
          <bgColor rgb="FFF4CCCC"/>
        </patternFill>
      </fill>
    </dxf>
    <dxf>
      <font>
        <b val="1"/>
        <color rgb="FF008000"/>
      </font>
      <fill>
        <patternFill>
          <bgColor rgb="FFE2F0D9"/>
        </patternFill>
      </fill>
    </dxf>
    <dxf>
      <font>
        <color rgb="FFC00000"/>
      </font>
      <fill>
        <patternFill>
          <bgColor rgb="FFFDE9E7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2E7D32"/>
      </font>
      <fill>
        <patternFill>
          <bgColor rgb="FFE8F5E9"/>
        </patternFill>
      </fill>
    </dxf>
    <dxf>
      <font>
        <b val="1"/>
        <color rgb="FFC00000"/>
      </font>
      <fill>
        <patternFill>
          <bgColor rgb="FFFDE9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EEF5FB"/>
      <rgbColor rgb="FFE5E7EB"/>
      <rgbColor rgb="FFC00000"/>
      <rgbColor rgb="FF008000"/>
      <rgbColor rgb="FF1F4E78"/>
      <rgbColor rgb="FF9C6500"/>
      <rgbColor rgb="FFF7FBFF"/>
      <rgbColor rgb="FF156082"/>
      <rgbColor rgb="FFBFBFBF"/>
      <rgbColor rgb="FF757575"/>
      <rgbColor rgb="FFB7E1CD"/>
      <rgbColor rgb="FF548235"/>
      <rgbColor rgb="FFFFF2CC"/>
      <rgbColor rgb="FFD9EAF7"/>
      <rgbColor rgb="FF660066"/>
      <rgbColor rgb="FFD6B656"/>
      <rgbColor rgb="FF0B5394"/>
      <rgbColor rgb="FFBDD7EE"/>
      <rgbColor rgb="FF006100"/>
      <rgbColor rgb="FFF9F9F9"/>
      <rgbColor rgb="FFFFD966"/>
      <rgbColor rgb="FFE8F5E9"/>
      <rgbColor rgb="FF800080"/>
      <rgbColor rgb="FF800000"/>
      <rgbColor rgb="FF196B24"/>
      <rgbColor rgb="FF0000FF"/>
      <rgbColor rgb="FFD9E1F2"/>
      <rgbColor rgb="FFDDEBF7"/>
      <rgbColor rgb="FFE2F0D9"/>
      <rgbColor rgb="FFFFE599"/>
      <rgbColor rgb="FFAFC7DA"/>
      <rgbColor rgb="FFFCE4D6"/>
      <rgbColor rgb="FFD9D9D9"/>
      <rgbColor rgb="FFF4CCCC"/>
      <rgbColor rgb="FF3D85C6"/>
      <rgbColor rgb="FFC1E5F5"/>
      <rgbColor rgb="FF93C47D"/>
      <rgbColor rgb="FFF1C232"/>
      <rgbColor rgb="FFFF9900"/>
      <rgbColor rgb="FFE97132"/>
      <rgbColor rgb="FF666666"/>
      <rgbColor rgb="FFB7B7B7"/>
      <rgbColor rgb="FF0B3B70"/>
      <rgbColor rgb="FF2E7D32"/>
      <rgbColor rgb="FF1A1A1A"/>
      <rgbColor rgb="FF274E13"/>
      <rgbColor rgb="FFF2F2F2"/>
      <rgbColor rgb="FFFDE9E7"/>
      <rgbColor rgb="FF1C4587"/>
      <rgbColor rgb="FF24406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lang="en-US" sz="1800" spc="-1" strike="noStrike">
                <a:solidFill>
                  <a:srgbClr val="757575"/>
                </a:solidFill>
                <a:latin typeface="Calibri"/>
                <a:ea typeface="Calibri"/>
              </a:rPr>
              <a:t>Doanh thu và Tổng chi phí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165156507414"/>
          <c:y val="0.493964996982499"/>
          <c:w val="0.866093492586491"/>
          <c:h val="0.3966505733252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"Doanh thu"</c:f>
              <c:strCache>
                <c:ptCount val="1"/>
                <c:pt idx="0">
                  <c:v>Doanh thu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'DIA_Tóm Tắt'!$A$30:$A$32</c:f>
              <c:strCache>
                <c:ptCount val="3"/>
                <c:pt idx="0">
                  <c:v>Năm 1</c:v>
                </c:pt>
                <c:pt idx="1">
                  <c:v>Năm 2</c:v>
                </c:pt>
                <c:pt idx="2">
                  <c:v>Năm 3</c:v>
                </c:pt>
              </c:strCache>
            </c:strRef>
          </c:cat>
          <c:val>
            <c:numRef>
              <c:f>'DIA_Tóm Tắt'!$B$30:$B$32</c:f>
              <c:numCache>
                <c:formatCode>#,##0" ₫";[RED]\(#,##0" ₫)";\-</c:formatCode>
                <c:ptCount val="3"/>
                <c:pt idx="0">
                  <c:v>994450000</c:v>
                </c:pt>
                <c:pt idx="1">
                  <c:v>2019266886</c:v>
                </c:pt>
                <c:pt idx="2">
                  <c:v>4061175090.1354</c:v>
                </c:pt>
              </c:numCache>
            </c:numRef>
          </c:val>
        </c:ser>
        <c:ser>
          <c:idx val="1"/>
          <c:order val="1"/>
          <c:tx>
            <c:strRef>
              <c:f>"Tổng chi phí"</c:f>
              <c:strCache>
                <c:ptCount val="1"/>
                <c:pt idx="0">
                  <c:v>Tổng chi phí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'DIA_Tóm Tắt'!$A$30:$A$32</c:f>
              <c:strCache>
                <c:ptCount val="3"/>
                <c:pt idx="0">
                  <c:v>Năm 1</c:v>
                </c:pt>
                <c:pt idx="1">
                  <c:v>Năm 2</c:v>
                </c:pt>
                <c:pt idx="2">
                  <c:v>Năm 3</c:v>
                </c:pt>
              </c:strCache>
            </c:strRef>
          </c:cat>
          <c:val>
            <c:numRef>
              <c:f>'DIA_Tóm Tắt'!$C$30:$C$32</c:f>
              <c:numCache>
                <c:formatCode>#,##0" ₫";[RED]\(#,##0" ₫)";\-</c:formatCode>
                <c:ptCount val="3"/>
                <c:pt idx="0">
                  <c:v>2196097250</c:v>
                </c:pt>
                <c:pt idx="1">
                  <c:v>3261438301.34</c:v>
                </c:pt>
                <c:pt idx="2">
                  <c:v>4819248044.99724</c:v>
                </c:pt>
              </c:numCache>
            </c:numRef>
          </c:val>
        </c:ser>
        <c:gapWidth val="150"/>
        <c:overlap val="0"/>
        <c:axId val="19101522"/>
        <c:axId val="99408132"/>
      </c:barChart>
      <c:catAx>
        <c:axId val="191015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n-US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9408132"/>
        <c:crosses val="autoZero"/>
        <c:auto val="1"/>
        <c:lblAlgn val="ctr"/>
        <c:lblOffset val="100"/>
        <c:noMultiLvlLbl val="0"/>
      </c:catAx>
      <c:valAx>
        <c:axId val="9940813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n-US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91015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vi-VN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lang="vi-VN" sz="1800" spc="-1" strike="noStrike">
                <a:solidFill>
                  <a:srgbClr val="757575"/>
                </a:solidFill>
                <a:latin typeface="Calibri"/>
                <a:ea typeface="Calibri"/>
              </a:rPr>
              <a:t>Cơ cấu doanh thu Năm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56082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9713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96b24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'DIA_Tóm Tắt'!$A$36:$A$38</c:f>
              <c:strCache>
                <c:ptCount val="3"/>
                <c:pt idx="0">
                  <c:v>B2C</c:v>
                </c:pt>
                <c:pt idx="1">
                  <c:v>B2B</c:v>
                </c:pt>
                <c:pt idx="2">
                  <c:v>Triển khai &amp; dịch vụ</c:v>
                </c:pt>
              </c:strCache>
            </c:strRef>
          </c:cat>
          <c:val>
            <c:numRef>
              <c:f>'DIA_Tóm Tắt'!$B$36:$B$38</c:f>
              <c:numCache>
                <c:formatCode>#,##0" ₫";[RED]\(#,##0" ₫)";\-</c:formatCode>
                <c:ptCount val="3"/>
                <c:pt idx="0">
                  <c:v>2250333434.4624</c:v>
                </c:pt>
                <c:pt idx="1">
                  <c:v>1298341655.673</c:v>
                </c:pt>
                <c:pt idx="2">
                  <c:v>362500000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vi-VN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lang="vi-VN" sz="1800" spc="-1" strike="noStrike">
                <a:solidFill>
                  <a:srgbClr val="757575"/>
                </a:solidFill>
                <a:latin typeface="Calibri"/>
                <a:ea typeface="Calibri"/>
              </a:rPr>
              <a:t>Tăng trưởng người dùng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"Tổng người dùng"</c:f>
              <c:strCache>
                <c:ptCount val="1"/>
                <c:pt idx="0">
                  <c:v>Tổng người dùng</c:v>
                </c:pt>
              </c:strCache>
            </c:strRef>
          </c:tx>
          <c:spPr>
            <a:solidFill>
              <a:srgbClr val="156082"/>
            </a:solidFill>
            <a:ln w="1908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'DIA_Tóm Tắt'!$A$42:$A$44</c:f>
              <c:strCache>
                <c:ptCount val="3"/>
                <c:pt idx="0">
                  <c:v>Năm 1</c:v>
                </c:pt>
                <c:pt idx="1">
                  <c:v>Năm 2</c:v>
                </c:pt>
                <c:pt idx="2">
                  <c:v>Năm 3</c:v>
                </c:pt>
              </c:strCache>
            </c:strRef>
          </c:cat>
          <c:val>
            <c:numRef>
              <c:f>'DIA_Tóm Tắt'!$B$42:$B$44</c:f>
              <c:numCache>
                <c:formatCode>#,##0;[RED]\(#,##0\);\-</c:formatCode>
                <c:ptCount val="3"/>
                <c:pt idx="0">
                  <c:v>40000</c:v>
                </c:pt>
                <c:pt idx="1">
                  <c:v>50000</c:v>
                </c:pt>
                <c:pt idx="2">
                  <c:v>70000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"Premium"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rgbClr val="e97132"/>
            </a:solidFill>
            <a:ln w="1908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'DIA_Tóm Tắt'!$A$42:$A$44</c:f>
              <c:strCache>
                <c:ptCount val="3"/>
                <c:pt idx="0">
                  <c:v>Năm 1</c:v>
                </c:pt>
                <c:pt idx="1">
                  <c:v>Năm 2</c:v>
                </c:pt>
                <c:pt idx="2">
                  <c:v>Năm 3</c:v>
                </c:pt>
              </c:strCache>
            </c:strRef>
          </c:cat>
          <c:val>
            <c:numRef>
              <c:f>'DIA_Tóm Tắt'!$C$42:$C$44</c:f>
              <c:numCache>
                <c:formatCode>#,##0;[RED]\(#,##0\);\-</c:formatCode>
                <c:ptCount val="3"/>
                <c:pt idx="0">
                  <c:v>1600</c:v>
                </c:pt>
                <c:pt idx="1">
                  <c:v>2500</c:v>
                </c:pt>
                <c:pt idx="2">
                  <c:v>4200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519385"/>
        <c:axId val="43176965"/>
      </c:lineChart>
      <c:catAx>
        <c:axId val="515193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n-US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3176965"/>
        <c:crosses val="autoZero"/>
        <c:auto val="1"/>
        <c:lblAlgn val="ctr"/>
        <c:lblOffset val="100"/>
        <c:noMultiLvlLbl val="0"/>
      </c:catAx>
      <c:valAx>
        <c:axId val="43176965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n-US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15193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lang="en-US" sz="1800" spc="-1" strike="noStrike">
                <a:solidFill>
                  <a:srgbClr val="757575"/>
                </a:solidFill>
                <a:latin typeface="Calibri"/>
                <a:ea typeface="Calibri"/>
              </a:rPr>
              <a:t>Dòng tiền ròng và lũy kế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"Dòng tiền ròng"</c:f>
              <c:strCache>
                <c:ptCount val="1"/>
                <c:pt idx="0">
                  <c:v>Dòng tiền ròng</c:v>
                </c:pt>
              </c:strCache>
            </c:strRef>
          </c:tx>
          <c:spPr>
            <a:solidFill>
              <a:srgbClr val="156082"/>
            </a:solidFill>
            <a:ln w="1908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'DIA_Tóm Tắt'!$A$48:$A$50</c:f>
              <c:strCache>
                <c:ptCount val="3"/>
                <c:pt idx="0">
                  <c:v>Năm 1</c:v>
                </c:pt>
                <c:pt idx="1">
                  <c:v>Năm 2</c:v>
                </c:pt>
                <c:pt idx="2">
                  <c:v>Năm 3</c:v>
                </c:pt>
              </c:strCache>
            </c:strRef>
          </c:cat>
          <c:val>
            <c:numRef>
              <c:f>'DIA_Tóm Tắt'!$B$48:$B$50</c:f>
              <c:numCache>
                <c:formatCode>#,##0" ₫";[RED]\(#,##0" ₫)";\-</c:formatCode>
                <c:ptCount val="3"/>
                <c:pt idx="0">
                  <c:v>-1201647250</c:v>
                </c:pt>
                <c:pt idx="1">
                  <c:v>-1441171415.34</c:v>
                </c:pt>
                <c:pt idx="2">
                  <c:v>-1009072954.86184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"Dòng tiền lũy kế"</c:f>
              <c:strCache>
                <c:ptCount val="1"/>
                <c:pt idx="0">
                  <c:v>Dòng tiền lũy kế</c:v>
                </c:pt>
              </c:strCache>
            </c:strRef>
          </c:tx>
          <c:spPr>
            <a:solidFill>
              <a:srgbClr val="e97132"/>
            </a:solidFill>
            <a:ln w="1908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'DIA_Tóm Tắt'!$A$48:$A$50</c:f>
              <c:strCache>
                <c:ptCount val="3"/>
                <c:pt idx="0">
                  <c:v>Năm 1</c:v>
                </c:pt>
                <c:pt idx="1">
                  <c:v>Năm 2</c:v>
                </c:pt>
                <c:pt idx="2">
                  <c:v>Năm 3</c:v>
                </c:pt>
              </c:strCache>
            </c:strRef>
          </c:cat>
          <c:val>
            <c:numRef>
              <c:f>'DIA_Tóm Tắt'!$C$48:$C$50</c:f>
              <c:numCache>
                <c:formatCode>#,##0" ₫";[RED]\(#,##0" ₫)";\-</c:formatCode>
                <c:ptCount val="3"/>
                <c:pt idx="0">
                  <c:v>-1201647250</c:v>
                </c:pt>
                <c:pt idx="1">
                  <c:v>-2642818665.34</c:v>
                </c:pt>
                <c:pt idx="2">
                  <c:v>-3651891620.20184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201468"/>
        <c:axId val="925773"/>
      </c:lineChart>
      <c:catAx>
        <c:axId val="582014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n-US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25773"/>
        <c:crosses val="autoZero"/>
        <c:auto val="1"/>
        <c:lblAlgn val="ctr"/>
        <c:lblOffset val="100"/>
        <c:noMultiLvlLbl val="0"/>
      </c:catAx>
      <c:valAx>
        <c:axId val="92577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n-US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82014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460080</xdr:colOff>
      <xdr:row>13</xdr:row>
      <xdr:rowOff>82080</xdr:rowOff>
    </xdr:from>
    <xdr:to>
      <xdr:col>14</xdr:col>
      <xdr:colOff>26640</xdr:colOff>
      <xdr:row>20</xdr:row>
      <xdr:rowOff>29160</xdr:rowOff>
    </xdr:to>
    <xdr:graphicFrame>
      <xdr:nvGraphicFramePr>
        <xdr:cNvPr id="0" name="Chart 1"/>
        <xdr:cNvGraphicFramePr/>
      </xdr:nvGraphicFramePr>
      <xdr:xfrm>
        <a:off x="11686320" y="3930120"/>
        <a:ext cx="6992280" cy="2385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355320</xdr:colOff>
      <xdr:row>20</xdr:row>
      <xdr:rowOff>195480</xdr:rowOff>
    </xdr:from>
    <xdr:to>
      <xdr:col>13</xdr:col>
      <xdr:colOff>91080</xdr:colOff>
      <xdr:row>32</xdr:row>
      <xdr:rowOff>34200</xdr:rowOff>
    </xdr:to>
    <xdr:graphicFrame>
      <xdr:nvGraphicFramePr>
        <xdr:cNvPr id="1" name="Chart 2"/>
        <xdr:cNvGraphicFramePr/>
      </xdr:nvGraphicFramePr>
      <xdr:xfrm>
        <a:off x="9742680" y="6482160"/>
        <a:ext cx="8391960" cy="303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368280</xdr:colOff>
      <xdr:row>32</xdr:row>
      <xdr:rowOff>213840</xdr:rowOff>
    </xdr:from>
    <xdr:to>
      <xdr:col>12</xdr:col>
      <xdr:colOff>383760</xdr:colOff>
      <xdr:row>41</xdr:row>
      <xdr:rowOff>163440</xdr:rowOff>
    </xdr:to>
    <xdr:graphicFrame>
      <xdr:nvGraphicFramePr>
        <xdr:cNvPr id="2" name="Chart 3"/>
        <xdr:cNvGraphicFramePr/>
      </xdr:nvGraphicFramePr>
      <xdr:xfrm>
        <a:off x="9755640" y="9700920"/>
        <a:ext cx="8063280" cy="230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1190520</xdr:colOff>
      <xdr:row>39</xdr:row>
      <xdr:rowOff>22680</xdr:rowOff>
    </xdr:from>
    <xdr:to>
      <xdr:col>12</xdr:col>
      <xdr:colOff>381600</xdr:colOff>
      <xdr:row>48</xdr:row>
      <xdr:rowOff>74520</xdr:rowOff>
    </xdr:to>
    <xdr:graphicFrame>
      <xdr:nvGraphicFramePr>
        <xdr:cNvPr id="3" name="Chart 4"/>
        <xdr:cNvGraphicFramePr/>
      </xdr:nvGraphicFramePr>
      <xdr:xfrm>
        <a:off x="8886240" y="11233440"/>
        <a:ext cx="8930520" cy="240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 pitchFamily="0" charset="1"/>
        <a:ea typeface="Carlito" pitchFamily="0" charset="1"/>
        <a:cs typeface="Carlito" pitchFamily="0" charset="1"/>
      </a:majorFont>
      <a:minorFont>
        <a:latin typeface="Carlito" pitchFamily="0" charset="1"/>
        <a:ea typeface="Carlito" pitchFamily="0" charset="1"/>
        <a:cs typeface="Carlito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ebclaude.com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cloudflare.com/" TargetMode="External"/><Relationship Id="rId2" Type="http://schemas.openxmlformats.org/officeDocument/2006/relationships/hyperlink" Target="http://gemini.google.com/" TargetMode="External"/><Relationship Id="rId3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33" activePane="bottomLeft" state="frozen"/>
      <selection pane="topLeft" activeCell="A1" activeCellId="0" sqref="A1"/>
      <selection pane="bottomLeft" activeCell="B5" activeCellId="0" sqref="B5"/>
    </sheetView>
  </sheetViews>
  <sheetFormatPr defaultColWidth="12.6328125" defaultRowHeight="14.25" zeroHeight="false" outlineLevelRow="0" outlineLevelCol="0"/>
  <cols>
    <col collapsed="false" customWidth="true" hidden="false" outlineLevel="0" max="1" min="1" style="0" width="3.91"/>
    <col collapsed="false" customWidth="true" hidden="false" outlineLevel="0" max="2" min="2" style="0" width="61.63"/>
    <col collapsed="false" customWidth="true" hidden="false" outlineLevel="0" max="3" min="3" style="0" width="8.91"/>
    <col collapsed="false" customWidth="true" hidden="false" outlineLevel="0" max="5" min="4" style="0" width="20"/>
    <col collapsed="false" customWidth="true" hidden="false" outlineLevel="0" max="6" min="6" style="0" width="13.36"/>
    <col collapsed="false" customWidth="true" hidden="false" outlineLevel="0" max="7" min="7" style="0" width="13.09"/>
    <col collapsed="false" customWidth="true" hidden="false" outlineLevel="0" max="8" min="8" style="0" width="76.73"/>
    <col collapsed="false" customWidth="true" hidden="false" outlineLevel="0" max="9" min="9" style="0" width="11.36"/>
    <col collapsed="false" customWidth="true" hidden="false" outlineLevel="0" max="12" min="10" style="0" width="8.63"/>
    <col collapsed="false" customWidth="true" hidden="false" outlineLevel="0" max="13" min="13" style="0" width="11.27"/>
    <col collapsed="false" customWidth="true" hidden="false" outlineLevel="0" max="25" min="14" style="0" width="8.6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7.25" hidden="false" customHeight="true" outlineLevel="0" collapsed="false">
      <c r="A2" s="3"/>
      <c r="B2" s="2"/>
      <c r="C2" s="2"/>
      <c r="D2" s="4"/>
      <c r="E2" s="4"/>
      <c r="F2" s="4"/>
      <c r="G2" s="2"/>
      <c r="H2" s="2"/>
      <c r="V2" s="2"/>
      <c r="W2" s="2"/>
      <c r="X2" s="2"/>
      <c r="Y2" s="2"/>
    </row>
    <row r="3" customFormat="false" ht="40.5" hidden="false" customHeight="true" outlineLevel="0" collapsed="false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6"/>
      <c r="V3" s="2"/>
      <c r="W3" s="2"/>
      <c r="X3" s="2"/>
      <c r="Y3" s="2"/>
    </row>
    <row r="4" customFormat="false" ht="17.25" hidden="false" customHeight="true" outlineLevel="0" collapsed="false">
      <c r="A4" s="7" t="n">
        <v>1</v>
      </c>
      <c r="B4" s="8" t="s">
        <v>9</v>
      </c>
      <c r="C4" s="9" t="n">
        <f aca="false">'DIA_Giả Định'!$N$129</f>
        <v>5</v>
      </c>
      <c r="D4" s="10" t="n">
        <f aca="false">'DIA_Giả Định'!$N$130</f>
        <v>24700000</v>
      </c>
      <c r="E4" s="10" t="n">
        <f aca="false">C4*D4</f>
        <v>123500000</v>
      </c>
      <c r="F4" s="11" t="n">
        <f aca="false">'DIA_Giả Định'!$N$65</f>
        <v>4</v>
      </c>
      <c r="G4" s="12" t="s">
        <v>10</v>
      </c>
      <c r="H4" s="13" t="s">
        <v>11</v>
      </c>
      <c r="V4" s="2"/>
      <c r="W4" s="2"/>
      <c r="X4" s="2"/>
      <c r="Y4" s="2"/>
    </row>
    <row r="5" customFormat="false" ht="17.25" hidden="false" customHeight="true" outlineLevel="0" collapsed="false">
      <c r="A5" s="7" t="n">
        <v>2</v>
      </c>
      <c r="B5" s="8" t="s">
        <v>12</v>
      </c>
      <c r="C5" s="9" t="n">
        <f aca="false">'DIA_Giả Định'!$N$131</f>
        <v>1</v>
      </c>
      <c r="D5" s="10" t="n">
        <f aca="false">'DIA_Giả Định'!$N$132</f>
        <v>16300000</v>
      </c>
      <c r="E5" s="10" t="n">
        <f aca="false">C5*D5</f>
        <v>16300000</v>
      </c>
      <c r="F5" s="11" t="n">
        <f aca="false">'DIA_Giả Định'!$N$65</f>
        <v>4</v>
      </c>
      <c r="G5" s="12" t="s">
        <v>10</v>
      </c>
      <c r="H5" s="8" t="s">
        <v>13</v>
      </c>
      <c r="V5" s="2"/>
      <c r="W5" s="2"/>
      <c r="X5" s="2"/>
      <c r="Y5" s="2"/>
    </row>
    <row r="6" customFormat="false" ht="17.25" hidden="false" customHeight="true" outlineLevel="0" collapsed="false">
      <c r="A6" s="7" t="n">
        <v>3</v>
      </c>
      <c r="B6" s="8" t="s">
        <v>14</v>
      </c>
      <c r="C6" s="9" t="n">
        <v>1</v>
      </c>
      <c r="D6" s="10" t="n">
        <f aca="false">'DIA_Giả Định'!$N$75*12</f>
        <v>300000000</v>
      </c>
      <c r="E6" s="10" t="n">
        <f aca="false">'DIA_Giả Định'!$N$75*12</f>
        <v>300000000</v>
      </c>
      <c r="F6" s="14" t="n">
        <v>1</v>
      </c>
      <c r="G6" s="12"/>
      <c r="H6" s="7" t="s">
        <v>15</v>
      </c>
      <c r="K6" s="15"/>
      <c r="L6" s="15"/>
      <c r="M6" s="15"/>
      <c r="N6" s="15"/>
      <c r="O6" s="15"/>
      <c r="V6" s="2"/>
      <c r="W6" s="2"/>
      <c r="X6" s="2"/>
      <c r="Y6" s="2"/>
    </row>
    <row r="7" customFormat="false" ht="17.25" hidden="false" customHeight="true" outlineLevel="0" collapsed="false">
      <c r="A7" s="7" t="n">
        <v>4</v>
      </c>
      <c r="B7" s="8" t="s">
        <v>16</v>
      </c>
      <c r="C7" s="9" t="n">
        <v>1</v>
      </c>
      <c r="D7" s="10" t="n">
        <v>0</v>
      </c>
      <c r="E7" s="10" t="n">
        <v>0</v>
      </c>
      <c r="F7" s="14" t="n">
        <v>0</v>
      </c>
      <c r="G7" s="12"/>
      <c r="H7" s="7" t="s">
        <v>17</v>
      </c>
      <c r="J7" s="15"/>
      <c r="K7" s="15"/>
      <c r="L7" s="15"/>
      <c r="M7" s="15"/>
      <c r="N7" s="15"/>
      <c r="O7" s="15"/>
      <c r="V7" s="2"/>
      <c r="W7" s="2"/>
      <c r="X7" s="2"/>
      <c r="Y7" s="2"/>
    </row>
    <row r="8" customFormat="false" ht="17.25" hidden="false" customHeight="true" outlineLevel="0" collapsed="false">
      <c r="A8" s="7" t="n">
        <v>5</v>
      </c>
      <c r="B8" s="8" t="s">
        <v>18</v>
      </c>
      <c r="C8" s="9" t="n">
        <f aca="false">SUM(C9:C13)</f>
        <v>5</v>
      </c>
      <c r="D8" s="10" t="n">
        <f aca="false">SUM(D9:D13)</f>
        <v>96000000</v>
      </c>
      <c r="E8" s="10" t="n">
        <f aca="false">SUM(E9:E13)</f>
        <v>96000000</v>
      </c>
      <c r="F8" s="14" t="n">
        <v>1</v>
      </c>
      <c r="G8" s="12" t="s">
        <v>10</v>
      </c>
      <c r="H8" s="8"/>
      <c r="J8" s="15"/>
      <c r="K8" s="15"/>
      <c r="L8" s="15"/>
      <c r="M8" s="15"/>
      <c r="N8" s="15"/>
      <c r="O8" s="15"/>
      <c r="V8" s="2"/>
      <c r="W8" s="2"/>
      <c r="X8" s="2"/>
      <c r="Y8" s="2"/>
    </row>
    <row r="9" customFormat="false" ht="48" hidden="false" customHeight="true" outlineLevel="0" collapsed="false">
      <c r="A9" s="16"/>
      <c r="B9" s="17" t="s">
        <v>19</v>
      </c>
      <c r="C9" s="18" t="n">
        <f aca="false">'DIA_Giả Định'!$N$133</f>
        <v>1</v>
      </c>
      <c r="D9" s="19" t="n">
        <f aca="false">'DIA_Giả Định'!$N$134</f>
        <v>6400000</v>
      </c>
      <c r="E9" s="19" t="n">
        <f aca="false">C9*D9</f>
        <v>6400000</v>
      </c>
      <c r="F9" s="20" t="s">
        <v>20</v>
      </c>
      <c r="G9" s="21" t="s">
        <v>10</v>
      </c>
      <c r="H9" s="17" t="s">
        <v>21</v>
      </c>
      <c r="J9" s="22" t="s">
        <v>22</v>
      </c>
      <c r="K9" s="22"/>
      <c r="L9" s="22"/>
      <c r="M9" s="22"/>
      <c r="N9" s="22"/>
      <c r="O9" s="22"/>
      <c r="P9" s="23"/>
      <c r="V9" s="2"/>
      <c r="W9" s="2"/>
      <c r="X9" s="2"/>
      <c r="Y9" s="2"/>
    </row>
    <row r="10" customFormat="false" ht="17.25" hidden="false" customHeight="true" outlineLevel="0" collapsed="false">
      <c r="A10" s="16"/>
      <c r="B10" s="17" t="s">
        <v>23</v>
      </c>
      <c r="C10" s="18" t="n">
        <v>1</v>
      </c>
      <c r="D10" s="19" t="n">
        <v>6500000</v>
      </c>
      <c r="E10" s="19" t="n">
        <f aca="false">C10*D10</f>
        <v>6500000</v>
      </c>
      <c r="F10" s="20" t="s">
        <v>20</v>
      </c>
      <c r="G10" s="21" t="s">
        <v>10</v>
      </c>
      <c r="H10" s="24" t="s">
        <v>24</v>
      </c>
      <c r="J10" s="25"/>
      <c r="K10" s="25"/>
      <c r="L10" s="25"/>
      <c r="M10" s="25"/>
      <c r="N10" s="25"/>
      <c r="O10" s="25"/>
      <c r="P10" s="23"/>
      <c r="V10" s="2"/>
      <c r="W10" s="2"/>
      <c r="X10" s="2"/>
      <c r="Y10" s="2"/>
    </row>
    <row r="11" customFormat="false" ht="17.25" hidden="false" customHeight="true" outlineLevel="0" collapsed="false">
      <c r="A11" s="16"/>
      <c r="B11" s="17" t="s">
        <v>25</v>
      </c>
      <c r="C11" s="18" t="n">
        <v>1</v>
      </c>
      <c r="D11" s="19" t="n">
        <v>2000000</v>
      </c>
      <c r="E11" s="19" t="n">
        <f aca="false">C11*D11</f>
        <v>2000000</v>
      </c>
      <c r="F11" s="20" t="s">
        <v>20</v>
      </c>
      <c r="G11" s="21" t="s">
        <v>10</v>
      </c>
      <c r="H11" s="16" t="s">
        <v>26</v>
      </c>
      <c r="K11" s="25"/>
      <c r="L11" s="25"/>
      <c r="M11" s="25"/>
      <c r="N11" s="25"/>
      <c r="O11" s="25"/>
      <c r="P11" s="23"/>
      <c r="V11" s="2"/>
      <c r="W11" s="2"/>
      <c r="X11" s="2"/>
      <c r="Y11" s="2"/>
    </row>
    <row r="12" customFormat="false" ht="17.25" hidden="false" customHeight="true" outlineLevel="0" collapsed="false">
      <c r="A12" s="16"/>
      <c r="B12" s="17" t="s">
        <v>27</v>
      </c>
      <c r="C12" s="18" t="n">
        <v>1</v>
      </c>
      <c r="D12" s="19" t="n">
        <v>8100000</v>
      </c>
      <c r="E12" s="19" t="n">
        <f aca="false">C12*D12</f>
        <v>8100000</v>
      </c>
      <c r="F12" s="20" t="s">
        <v>20</v>
      </c>
      <c r="G12" s="21" t="s">
        <v>10</v>
      </c>
      <c r="H12" s="16" t="s">
        <v>28</v>
      </c>
      <c r="J12" s="25"/>
      <c r="K12" s="25"/>
      <c r="L12" s="25"/>
      <c r="M12" s="25"/>
      <c r="N12" s="25"/>
      <c r="O12" s="25"/>
      <c r="P12" s="23"/>
      <c r="V12" s="2"/>
      <c r="W12" s="2"/>
      <c r="X12" s="2"/>
      <c r="Y12" s="2"/>
    </row>
    <row r="13" customFormat="false" ht="17.25" hidden="false" customHeight="true" outlineLevel="0" collapsed="false">
      <c r="A13" s="16"/>
      <c r="B13" s="17" t="s">
        <v>29</v>
      </c>
      <c r="C13" s="18" t="n">
        <v>1</v>
      </c>
      <c r="D13" s="19" t="n">
        <v>73000000</v>
      </c>
      <c r="E13" s="19" t="n">
        <f aca="false">C13*D13</f>
        <v>73000000</v>
      </c>
      <c r="F13" s="20" t="s">
        <v>20</v>
      </c>
      <c r="G13" s="21" t="s">
        <v>10</v>
      </c>
      <c r="H13" s="16" t="s">
        <v>30</v>
      </c>
      <c r="J13" s="25"/>
      <c r="K13" s="25"/>
      <c r="L13" s="25"/>
      <c r="M13" s="25"/>
      <c r="N13" s="25"/>
      <c r="O13" s="25"/>
      <c r="P13" s="23"/>
      <c r="V13" s="2"/>
      <c r="W13" s="2"/>
      <c r="X13" s="2"/>
      <c r="Y13" s="2"/>
    </row>
    <row r="14" customFormat="false" ht="32.25" hidden="false" customHeight="true" outlineLevel="0" collapsed="false">
      <c r="A14" s="7" t="n">
        <v>6</v>
      </c>
      <c r="B14" s="8" t="s">
        <v>31</v>
      </c>
      <c r="C14" s="9" t="n">
        <f aca="false">'DIA_Giả Định'!$N$135</f>
        <v>1</v>
      </c>
      <c r="D14" s="10" t="n">
        <f aca="false">'DIA_Giả Định'!$N$136</f>
        <v>2600000</v>
      </c>
      <c r="E14" s="10" t="n">
        <f aca="false">C14*D14</f>
        <v>2600000</v>
      </c>
      <c r="F14" s="11" t="n">
        <f aca="false">'DIA_Giả Định'!$N$64</f>
        <v>1</v>
      </c>
      <c r="G14" s="12" t="s">
        <v>10</v>
      </c>
      <c r="H14" s="7"/>
      <c r="J14" s="25"/>
      <c r="K14" s="25"/>
      <c r="L14" s="25"/>
      <c r="M14" s="25"/>
      <c r="N14" s="25"/>
      <c r="O14" s="25"/>
      <c r="P14" s="23"/>
      <c r="V14" s="2"/>
      <c r="W14" s="2"/>
      <c r="X14" s="2"/>
      <c r="Y14" s="2"/>
    </row>
    <row r="15" customFormat="false" ht="17.25" hidden="false" customHeight="true" outlineLevel="0" collapsed="false">
      <c r="A15" s="7" t="n">
        <v>7</v>
      </c>
      <c r="B15" s="8" t="s">
        <v>32</v>
      </c>
      <c r="C15" s="9" t="n">
        <f aca="false">'DIA_Giả Định'!$N$139</f>
        <v>2</v>
      </c>
      <c r="D15" s="10" t="n">
        <f aca="false">SUM(D16+D17)</f>
        <v>11300000</v>
      </c>
      <c r="E15" s="10" t="n">
        <f aca="false">SUM(E16+E17)</f>
        <v>11300000</v>
      </c>
      <c r="F15" s="11" t="n">
        <f aca="false">'DIA_Giả Định'!$N$64</f>
        <v>1</v>
      </c>
      <c r="G15" s="12" t="s">
        <v>10</v>
      </c>
      <c r="H15" s="8"/>
      <c r="J15" s="25"/>
      <c r="K15" s="25"/>
      <c r="L15" s="25"/>
      <c r="M15" s="25"/>
      <c r="N15" s="25"/>
      <c r="O15" s="25"/>
      <c r="P15" s="23"/>
      <c r="V15" s="2"/>
      <c r="W15" s="2"/>
      <c r="X15" s="2"/>
      <c r="Y15" s="2"/>
    </row>
    <row r="16" customFormat="false" ht="17.25" hidden="false" customHeight="true" outlineLevel="0" collapsed="false">
      <c r="A16" s="16"/>
      <c r="B16" s="17" t="s">
        <v>33</v>
      </c>
      <c r="C16" s="18" t="n">
        <v>1</v>
      </c>
      <c r="D16" s="19" t="n">
        <v>4100000</v>
      </c>
      <c r="E16" s="19" t="n">
        <f aca="false">C16*D16</f>
        <v>4100000</v>
      </c>
      <c r="F16" s="20" t="s">
        <v>20</v>
      </c>
      <c r="G16" s="21" t="s">
        <v>10</v>
      </c>
      <c r="H16" s="17" t="s">
        <v>34</v>
      </c>
      <c r="J16" s="25"/>
      <c r="K16" s="25"/>
      <c r="L16" s="25"/>
      <c r="M16" s="25"/>
      <c r="N16" s="25"/>
      <c r="O16" s="25"/>
      <c r="P16" s="23"/>
      <c r="V16" s="2"/>
      <c r="W16" s="2"/>
      <c r="X16" s="2"/>
      <c r="Y16" s="2"/>
    </row>
    <row r="17" customFormat="false" ht="17.25" hidden="false" customHeight="true" outlineLevel="0" collapsed="false">
      <c r="A17" s="16"/>
      <c r="B17" s="17" t="s">
        <v>35</v>
      </c>
      <c r="C17" s="18" t="n">
        <v>1</v>
      </c>
      <c r="D17" s="19" t="n">
        <v>7200000</v>
      </c>
      <c r="E17" s="19" t="n">
        <f aca="false">C17*D17</f>
        <v>7200000</v>
      </c>
      <c r="F17" s="20" t="s">
        <v>20</v>
      </c>
      <c r="G17" s="21" t="s">
        <v>10</v>
      </c>
      <c r="H17" s="26" t="s">
        <v>36</v>
      </c>
      <c r="J17" s="25"/>
      <c r="K17" s="25"/>
      <c r="L17" s="25"/>
      <c r="M17" s="25"/>
      <c r="N17" s="25"/>
      <c r="O17" s="25"/>
      <c r="P17" s="23"/>
      <c r="V17" s="2"/>
      <c r="W17" s="2"/>
      <c r="X17" s="2"/>
      <c r="Y17" s="2"/>
    </row>
    <row r="18" customFormat="false" ht="17.25" hidden="false" customHeight="true" outlineLevel="0" collapsed="false">
      <c r="A18" s="7" t="n">
        <v>8</v>
      </c>
      <c r="B18" s="8" t="s">
        <v>37</v>
      </c>
      <c r="C18" s="9" t="n">
        <f aca="false">'DIA_Giả Định'!$N$141</f>
        <v>6</v>
      </c>
      <c r="D18" s="10" t="n">
        <f aca="false">SUM(D19:D24)</f>
        <v>41000000</v>
      </c>
      <c r="E18" s="10" t="n">
        <f aca="false">SUM(E19:E24)</f>
        <v>41000000</v>
      </c>
      <c r="F18" s="11" t="n">
        <v>0</v>
      </c>
      <c r="G18" s="12" t="s">
        <v>38</v>
      </c>
      <c r="H18" s="8"/>
      <c r="J18" s="25"/>
      <c r="K18" s="25"/>
      <c r="L18" s="25"/>
      <c r="M18" s="25"/>
      <c r="N18" s="25"/>
      <c r="O18" s="25"/>
      <c r="P18" s="23"/>
      <c r="V18" s="2"/>
      <c r="W18" s="2"/>
      <c r="X18" s="2"/>
      <c r="Y18" s="2"/>
    </row>
    <row r="19" customFormat="false" ht="17.25" hidden="false" customHeight="true" outlineLevel="0" collapsed="false">
      <c r="A19" s="16"/>
      <c r="B19" s="27" t="s">
        <v>39</v>
      </c>
      <c r="C19" s="28" t="n">
        <v>1</v>
      </c>
      <c r="D19" s="29" t="n">
        <v>6000000</v>
      </c>
      <c r="E19" s="29" t="n">
        <v>6000000</v>
      </c>
      <c r="F19" s="29" t="s">
        <v>40</v>
      </c>
      <c r="G19" s="30" t="s">
        <v>38</v>
      </c>
      <c r="H19" s="31" t="s">
        <v>41</v>
      </c>
      <c r="J19" s="25"/>
      <c r="K19" s="25"/>
      <c r="L19" s="25"/>
      <c r="M19" s="25"/>
      <c r="N19" s="25"/>
      <c r="O19" s="25"/>
      <c r="P19" s="23"/>
      <c r="V19" s="32"/>
      <c r="W19" s="32"/>
      <c r="X19" s="32"/>
      <c r="Y19" s="32"/>
    </row>
    <row r="20" customFormat="false" ht="17.25" hidden="false" customHeight="true" outlineLevel="0" collapsed="false">
      <c r="A20" s="16"/>
      <c r="B20" s="33" t="s">
        <v>42</v>
      </c>
      <c r="C20" s="28" t="n">
        <v>1</v>
      </c>
      <c r="D20" s="29" t="n">
        <v>5000000</v>
      </c>
      <c r="E20" s="29" t="n">
        <v>5000000</v>
      </c>
      <c r="F20" s="29" t="s">
        <v>40</v>
      </c>
      <c r="G20" s="30" t="s">
        <v>38</v>
      </c>
      <c r="H20" s="31" t="s">
        <v>43</v>
      </c>
      <c r="J20" s="25"/>
      <c r="K20" s="25"/>
      <c r="L20" s="25"/>
      <c r="M20" s="25"/>
      <c r="N20" s="25"/>
      <c r="O20" s="25"/>
      <c r="P20" s="23"/>
      <c r="V20" s="32"/>
      <c r="W20" s="32"/>
      <c r="X20" s="32"/>
      <c r="Y20" s="32"/>
    </row>
    <row r="21" customFormat="false" ht="17.25" hidden="false" customHeight="true" outlineLevel="0" collapsed="false">
      <c r="A21" s="16"/>
      <c r="B21" s="33" t="s">
        <v>44</v>
      </c>
      <c r="C21" s="28" t="n">
        <v>1</v>
      </c>
      <c r="D21" s="29" t="n">
        <f aca="false">'DIA_Giả Định'!$N$103</f>
        <v>5000000</v>
      </c>
      <c r="E21" s="29" t="n">
        <f aca="false">'DIA_Giả Định'!$N$103</f>
        <v>5000000</v>
      </c>
      <c r="F21" s="29" t="s">
        <v>40</v>
      </c>
      <c r="G21" s="30" t="s">
        <v>38</v>
      </c>
      <c r="H21" s="34" t="s">
        <v>45</v>
      </c>
      <c r="J21" s="25"/>
      <c r="K21" s="25"/>
      <c r="L21" s="25"/>
      <c r="M21" s="25"/>
      <c r="N21" s="25"/>
      <c r="O21" s="25"/>
      <c r="P21" s="23"/>
      <c r="V21" s="32"/>
      <c r="W21" s="32"/>
      <c r="X21" s="32"/>
      <c r="Y21" s="32"/>
    </row>
    <row r="22" customFormat="false" ht="27.75" hidden="false" customHeight="true" outlineLevel="0" collapsed="false">
      <c r="A22" s="16"/>
      <c r="B22" s="33" t="s">
        <v>46</v>
      </c>
      <c r="C22" s="28" t="n">
        <v>1</v>
      </c>
      <c r="D22" s="29" t="n">
        <v>20000000</v>
      </c>
      <c r="E22" s="29" t="n">
        <v>20000000</v>
      </c>
      <c r="F22" s="29" t="s">
        <v>40</v>
      </c>
      <c r="G22" s="30" t="s">
        <v>38</v>
      </c>
      <c r="H22" s="35" t="s">
        <v>47</v>
      </c>
      <c r="J22" s="25"/>
      <c r="K22" s="25"/>
      <c r="L22" s="25"/>
      <c r="M22" s="25"/>
      <c r="N22" s="25"/>
      <c r="O22" s="25"/>
      <c r="P22" s="23"/>
      <c r="V22" s="32"/>
      <c r="W22" s="32"/>
      <c r="X22" s="32"/>
      <c r="Y22" s="32"/>
    </row>
    <row r="23" customFormat="false" ht="17.25" hidden="false" customHeight="true" outlineLevel="0" collapsed="false">
      <c r="A23" s="36"/>
      <c r="B23" s="37" t="s">
        <v>48</v>
      </c>
      <c r="C23" s="38" t="n">
        <v>1</v>
      </c>
      <c r="D23" s="39" t="n">
        <v>3000000</v>
      </c>
      <c r="E23" s="39" t="n">
        <v>3000000</v>
      </c>
      <c r="F23" s="29" t="s">
        <v>40</v>
      </c>
      <c r="G23" s="30" t="s">
        <v>38</v>
      </c>
      <c r="H23" s="36" t="s">
        <v>49</v>
      </c>
      <c r="J23" s="15"/>
      <c r="K23" s="15"/>
      <c r="L23" s="15"/>
      <c r="M23" s="15"/>
      <c r="N23" s="15"/>
      <c r="O23" s="15"/>
      <c r="V23" s="2"/>
      <c r="W23" s="2"/>
      <c r="X23" s="2"/>
      <c r="Y23" s="2"/>
    </row>
    <row r="24" customFormat="false" ht="17.25" hidden="false" customHeight="true" outlineLevel="0" collapsed="false">
      <c r="A24" s="36"/>
      <c r="B24" s="37" t="s">
        <v>50</v>
      </c>
      <c r="C24" s="38" t="n">
        <v>1</v>
      </c>
      <c r="D24" s="39" t="n">
        <v>2000000</v>
      </c>
      <c r="E24" s="39" t="n">
        <v>2000000</v>
      </c>
      <c r="F24" s="29" t="s">
        <v>40</v>
      </c>
      <c r="G24" s="30" t="s">
        <v>38</v>
      </c>
      <c r="H24" s="36" t="s">
        <v>51</v>
      </c>
      <c r="J24" s="15"/>
      <c r="K24" s="15"/>
      <c r="L24" s="15"/>
      <c r="M24" s="15"/>
      <c r="N24" s="15"/>
      <c r="O24" s="15"/>
      <c r="V24" s="2"/>
      <c r="W24" s="2"/>
      <c r="X24" s="2"/>
      <c r="Y24" s="2"/>
    </row>
    <row r="25" customFormat="false" ht="17.25" hidden="false" customHeight="true" outlineLevel="0" collapsed="false">
      <c r="A25" s="7" t="n">
        <v>9</v>
      </c>
      <c r="B25" s="8" t="s">
        <v>52</v>
      </c>
      <c r="C25" s="9" t="n">
        <f aca="false">SUM(C26:C33)</f>
        <v>12</v>
      </c>
      <c r="D25" s="10" t="n">
        <f aca="false">SUM(D26:D33)</f>
        <v>259850000</v>
      </c>
      <c r="E25" s="10" t="n">
        <f aca="false">SUM(E26:E33)</f>
        <v>264650000</v>
      </c>
      <c r="F25" s="11" t="n">
        <v>1</v>
      </c>
      <c r="G25" s="12" t="s">
        <v>53</v>
      </c>
      <c r="H25" s="7"/>
      <c r="J25" s="25"/>
      <c r="K25" s="25"/>
      <c r="L25" s="25"/>
      <c r="M25" s="25"/>
      <c r="N25" s="25"/>
      <c r="O25" s="25"/>
      <c r="P25" s="23"/>
      <c r="V25" s="2"/>
      <c r="W25" s="2"/>
      <c r="X25" s="2"/>
      <c r="Y25" s="2"/>
    </row>
    <row r="26" customFormat="false" ht="17.25" hidden="false" customHeight="true" outlineLevel="0" collapsed="false">
      <c r="A26" s="40"/>
      <c r="B26" s="17" t="s">
        <v>54</v>
      </c>
      <c r="C26" s="18" t="n">
        <v>1</v>
      </c>
      <c r="D26" s="19" t="n">
        <v>6500000</v>
      </c>
      <c r="E26" s="19" t="n">
        <v>6500000</v>
      </c>
      <c r="F26" s="41" t="n">
        <v>1</v>
      </c>
      <c r="G26" s="21" t="s">
        <v>53</v>
      </c>
      <c r="H26" s="16" t="s">
        <v>55</v>
      </c>
      <c r="J26" s="25"/>
      <c r="K26" s="25"/>
      <c r="L26" s="25"/>
      <c r="M26" s="25"/>
      <c r="N26" s="25"/>
      <c r="O26" s="25"/>
      <c r="P26" s="23"/>
      <c r="V26" s="2"/>
      <c r="W26" s="2"/>
      <c r="X26" s="2"/>
      <c r="Y26" s="2"/>
    </row>
    <row r="27" customFormat="false" ht="32.25" hidden="false" customHeight="true" outlineLevel="0" collapsed="false">
      <c r="A27" s="24"/>
      <c r="B27" s="42" t="s">
        <v>56</v>
      </c>
      <c r="C27" s="18" t="n">
        <v>1</v>
      </c>
      <c r="D27" s="19" t="n">
        <v>151200000</v>
      </c>
      <c r="E27" s="19" t="n">
        <v>151200000</v>
      </c>
      <c r="F27" s="41" t="n">
        <v>1</v>
      </c>
      <c r="G27" s="21" t="s">
        <v>53</v>
      </c>
      <c r="H27" s="16" t="s">
        <v>57</v>
      </c>
      <c r="J27" s="25"/>
      <c r="K27" s="25"/>
      <c r="L27" s="25"/>
      <c r="M27" s="25"/>
      <c r="N27" s="25"/>
      <c r="O27" s="25"/>
      <c r="P27" s="23"/>
      <c r="V27" s="2"/>
      <c r="W27" s="2"/>
      <c r="X27" s="2"/>
      <c r="Y27" s="2"/>
    </row>
    <row r="28" customFormat="false" ht="17.25" hidden="false" customHeight="true" outlineLevel="0" collapsed="false">
      <c r="A28" s="43"/>
      <c r="B28" s="17" t="s">
        <v>58</v>
      </c>
      <c r="C28" s="18" t="n">
        <v>1</v>
      </c>
      <c r="D28" s="19" t="n">
        <v>2700000</v>
      </c>
      <c r="E28" s="19" t="n">
        <v>2700000</v>
      </c>
      <c r="F28" s="41" t="n">
        <v>1</v>
      </c>
      <c r="G28" s="21" t="s">
        <v>53</v>
      </c>
      <c r="H28" s="16" t="s">
        <v>59</v>
      </c>
      <c r="J28" s="25"/>
      <c r="K28" s="25"/>
      <c r="L28" s="25"/>
      <c r="M28" s="25"/>
      <c r="N28" s="25"/>
      <c r="O28" s="25"/>
      <c r="P28" s="23"/>
      <c r="V28" s="2"/>
      <c r="W28" s="2"/>
      <c r="X28" s="2"/>
      <c r="Y28" s="2"/>
    </row>
    <row r="29" customFormat="false" ht="17.25" hidden="false" customHeight="true" outlineLevel="0" collapsed="false">
      <c r="A29" s="43"/>
      <c r="B29" s="17" t="s">
        <v>60</v>
      </c>
      <c r="C29" s="18" t="n">
        <v>1</v>
      </c>
      <c r="D29" s="19" t="n">
        <v>700000</v>
      </c>
      <c r="E29" s="19" t="n">
        <v>700000</v>
      </c>
      <c r="F29" s="41" t="n">
        <v>1</v>
      </c>
      <c r="G29" s="21" t="s">
        <v>53</v>
      </c>
      <c r="H29" s="16" t="s">
        <v>61</v>
      </c>
      <c r="J29" s="25"/>
      <c r="K29" s="25"/>
      <c r="L29" s="25"/>
      <c r="M29" s="25"/>
      <c r="N29" s="25"/>
      <c r="O29" s="25"/>
      <c r="P29" s="23"/>
      <c r="V29" s="2"/>
      <c r="W29" s="2"/>
      <c r="X29" s="2"/>
      <c r="Y29" s="2"/>
    </row>
    <row r="30" customFormat="false" ht="17.25" hidden="false" customHeight="true" outlineLevel="0" collapsed="false">
      <c r="A30" s="43"/>
      <c r="B30" s="17" t="s">
        <v>62</v>
      </c>
      <c r="C30" s="18" t="n">
        <v>1</v>
      </c>
      <c r="D30" s="19" t="n">
        <v>700000</v>
      </c>
      <c r="E30" s="19" t="n">
        <v>700000</v>
      </c>
      <c r="F30" s="41" t="n">
        <v>1</v>
      </c>
      <c r="G30" s="21" t="s">
        <v>53</v>
      </c>
      <c r="H30" s="16" t="s">
        <v>63</v>
      </c>
      <c r="J30" s="25"/>
      <c r="K30" s="25"/>
      <c r="L30" s="25"/>
      <c r="M30" s="25"/>
      <c r="N30" s="25"/>
      <c r="O30" s="25"/>
      <c r="P30" s="23"/>
      <c r="V30" s="2"/>
      <c r="W30" s="2"/>
      <c r="X30" s="2"/>
      <c r="Y30" s="2"/>
    </row>
    <row r="31" customFormat="false" ht="17.25" hidden="false" customHeight="true" outlineLevel="0" collapsed="false">
      <c r="A31" s="16"/>
      <c r="B31" s="17" t="s">
        <v>64</v>
      </c>
      <c r="C31" s="18" t="n">
        <v>1</v>
      </c>
      <c r="D31" s="19" t="n">
        <v>850000</v>
      </c>
      <c r="E31" s="19" t="n">
        <v>850000</v>
      </c>
      <c r="F31" s="41" t="n">
        <v>1</v>
      </c>
      <c r="G31" s="21" t="s">
        <v>53</v>
      </c>
      <c r="H31" s="16" t="s">
        <v>65</v>
      </c>
      <c r="J31" s="25"/>
      <c r="K31" s="25"/>
      <c r="L31" s="25"/>
      <c r="M31" s="25"/>
      <c r="N31" s="25"/>
      <c r="O31" s="25"/>
      <c r="P31" s="23"/>
      <c r="V31" s="2"/>
      <c r="W31" s="2"/>
      <c r="X31" s="2"/>
      <c r="Y31" s="2"/>
    </row>
    <row r="32" customFormat="false" ht="17.25" hidden="false" customHeight="true" outlineLevel="0" collapsed="false">
      <c r="A32" s="16"/>
      <c r="B32" s="17" t="s">
        <v>66</v>
      </c>
      <c r="C32" s="18" t="n">
        <v>5</v>
      </c>
      <c r="D32" s="19" t="n">
        <v>1200000</v>
      </c>
      <c r="E32" s="19" t="n">
        <f aca="false">C32*D32</f>
        <v>6000000</v>
      </c>
      <c r="F32" s="41" t="n">
        <v>1</v>
      </c>
      <c r="G32" s="21" t="s">
        <v>53</v>
      </c>
      <c r="H32" s="44" t="s">
        <v>67</v>
      </c>
      <c r="J32" s="25"/>
      <c r="K32" s="25"/>
      <c r="L32" s="25"/>
      <c r="M32" s="25"/>
      <c r="N32" s="25"/>
      <c r="O32" s="25"/>
      <c r="P32" s="23"/>
      <c r="V32" s="2"/>
      <c r="W32" s="2"/>
      <c r="X32" s="2"/>
      <c r="Y32" s="2"/>
    </row>
    <row r="33" customFormat="false" ht="17.25" hidden="false" customHeight="true" outlineLevel="0" collapsed="false">
      <c r="A33" s="16"/>
      <c r="B33" s="37" t="s">
        <v>68</v>
      </c>
      <c r="C33" s="18" t="n">
        <f aca="false">'DIA_Giả Định'!$N$92</f>
        <v>1</v>
      </c>
      <c r="D33" s="19" t="n">
        <f aca="false">'DIA_Giả Định'!$N$93</f>
        <v>96000000</v>
      </c>
      <c r="E33" s="19" t="n">
        <f aca="false">C33*D33</f>
        <v>96000000</v>
      </c>
      <c r="F33" s="41" t="n">
        <v>1</v>
      </c>
      <c r="G33" s="21" t="s">
        <v>53</v>
      </c>
      <c r="H33" s="16" t="s">
        <v>69</v>
      </c>
      <c r="J33" s="25"/>
      <c r="K33" s="25"/>
      <c r="L33" s="25"/>
      <c r="M33" s="25"/>
      <c r="N33" s="25"/>
      <c r="O33" s="25"/>
      <c r="P33" s="23"/>
      <c r="V33" s="2"/>
      <c r="W33" s="2"/>
      <c r="X33" s="2"/>
      <c r="Y33" s="2"/>
    </row>
    <row r="34" customFormat="false" ht="17.25" hidden="false" customHeight="true" outlineLevel="0" collapsed="false">
      <c r="A34" s="7" t="n">
        <v>10</v>
      </c>
      <c r="B34" s="8" t="s">
        <v>70</v>
      </c>
      <c r="C34" s="9" t="n">
        <f aca="false">'DIA_Giả Định'!$N$137</f>
        <v>2</v>
      </c>
      <c r="D34" s="10" t="n">
        <f aca="false">'DIA_Giả Định'!$N$138</f>
        <v>320000000</v>
      </c>
      <c r="E34" s="10" t="n">
        <f aca="false">'DIA_Giả Định'!$N$138</f>
        <v>320000000</v>
      </c>
      <c r="F34" s="11" t="n">
        <f aca="false">'DIA_Giả Định'!$N$64</f>
        <v>1</v>
      </c>
      <c r="G34" s="12" t="s">
        <v>71</v>
      </c>
      <c r="H34" s="7"/>
      <c r="J34" s="25"/>
      <c r="K34" s="25"/>
      <c r="L34" s="25"/>
      <c r="M34" s="25"/>
      <c r="N34" s="25"/>
      <c r="O34" s="25"/>
      <c r="P34" s="23"/>
      <c r="V34" s="2"/>
      <c r="W34" s="2"/>
      <c r="X34" s="2"/>
      <c r="Y34" s="2"/>
    </row>
    <row r="35" customFormat="false" ht="17.25" hidden="false" customHeight="true" outlineLevel="0" collapsed="false">
      <c r="A35" s="16"/>
      <c r="B35" s="17" t="s">
        <v>72</v>
      </c>
      <c r="C35" s="18" t="n">
        <v>1</v>
      </c>
      <c r="D35" s="19" t="n">
        <v>220000000</v>
      </c>
      <c r="E35" s="19" t="n">
        <v>220000000</v>
      </c>
      <c r="F35" s="41" t="n">
        <f aca="false">'DIA_Giả Định'!$N$64</f>
        <v>1</v>
      </c>
      <c r="G35" s="12" t="s">
        <v>71</v>
      </c>
      <c r="H35" s="16" t="s">
        <v>73</v>
      </c>
      <c r="J35" s="25"/>
      <c r="K35" s="25"/>
      <c r="L35" s="25"/>
      <c r="M35" s="25"/>
      <c r="N35" s="25"/>
      <c r="O35" s="25"/>
      <c r="P35" s="23"/>
      <c r="V35" s="2"/>
      <c r="W35" s="2"/>
      <c r="X35" s="2"/>
      <c r="Y35" s="2"/>
    </row>
    <row r="36" customFormat="false" ht="17.25" hidden="false" customHeight="true" outlineLevel="0" collapsed="false">
      <c r="A36" s="16"/>
      <c r="B36" s="17" t="s">
        <v>74</v>
      </c>
      <c r="C36" s="18" t="n">
        <v>1</v>
      </c>
      <c r="D36" s="19" t="n">
        <v>180000000</v>
      </c>
      <c r="E36" s="19" t="n">
        <v>180000000</v>
      </c>
      <c r="F36" s="41" t="n">
        <f aca="false">'DIA_Giả Định'!$N$64</f>
        <v>1</v>
      </c>
      <c r="G36" s="12" t="s">
        <v>71</v>
      </c>
      <c r="H36" s="17" t="s">
        <v>75</v>
      </c>
      <c r="J36" s="25"/>
      <c r="K36" s="25"/>
      <c r="L36" s="25"/>
      <c r="M36" s="25"/>
      <c r="N36" s="25"/>
      <c r="O36" s="25"/>
      <c r="P36" s="23"/>
      <c r="V36" s="2"/>
      <c r="W36" s="2"/>
      <c r="X36" s="2"/>
      <c r="Y36" s="2"/>
    </row>
    <row r="37" customFormat="false" ht="17.25" hidden="false" customHeight="true" outlineLevel="0" collapsed="false">
      <c r="A37" s="45" t="s">
        <v>76</v>
      </c>
      <c r="B37" s="45"/>
      <c r="C37" s="45"/>
      <c r="D37" s="45"/>
      <c r="E37" s="46" t="n">
        <f aca="false">SUM(E4:E8,E14:E15,E18,E25,E34)</f>
        <v>1175350000</v>
      </c>
      <c r="F37" s="47"/>
      <c r="G37" s="47"/>
      <c r="H37" s="47"/>
      <c r="J37" s="25"/>
      <c r="K37" s="25"/>
      <c r="L37" s="25"/>
      <c r="M37" s="25"/>
      <c r="N37" s="25"/>
      <c r="O37" s="25"/>
      <c r="P37" s="32"/>
      <c r="Q37" s="2"/>
      <c r="R37" s="2"/>
      <c r="S37" s="2"/>
      <c r="T37" s="2"/>
      <c r="U37" s="2"/>
      <c r="V37" s="2"/>
      <c r="W37" s="2"/>
      <c r="X37" s="2"/>
      <c r="Y37" s="2"/>
    </row>
    <row r="38" customFormat="false" ht="13.5" hidden="false" customHeight="true" outlineLevel="0" collapsed="false">
      <c r="A38" s="3"/>
      <c r="B38" s="2"/>
      <c r="C38" s="2"/>
      <c r="D38" s="2"/>
      <c r="E38" s="2"/>
      <c r="F38" s="2"/>
      <c r="G38" s="2"/>
      <c r="H38" s="2"/>
      <c r="I38" s="2"/>
      <c r="J38" s="25"/>
      <c r="K38" s="25"/>
      <c r="L38" s="25"/>
      <c r="M38" s="25"/>
      <c r="N38" s="25"/>
      <c r="O38" s="25"/>
      <c r="P38" s="32"/>
      <c r="Q38" s="2"/>
      <c r="R38" s="2"/>
      <c r="S38" s="2"/>
      <c r="T38" s="2"/>
      <c r="U38" s="2"/>
      <c r="V38" s="2"/>
      <c r="W38" s="2"/>
      <c r="X38" s="2"/>
      <c r="Y38" s="2"/>
    </row>
    <row r="39" customFormat="false" ht="13.5" hidden="false" customHeight="true" outlineLevel="0" collapsed="false">
      <c r="A39" s="3"/>
      <c r="B39" s="2"/>
      <c r="C39" s="2"/>
      <c r="D39" s="2"/>
      <c r="E39" s="2"/>
      <c r="F39" s="2"/>
      <c r="G39" s="2"/>
      <c r="H39" s="2"/>
      <c r="I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customFormat="false" ht="13.5" hidden="false" customHeight="true" outlineLevel="0" collapsed="false">
      <c r="A40" s="3"/>
      <c r="B40" s="2"/>
      <c r="C40" s="2"/>
      <c r="D40" s="2"/>
      <c r="E40" s="2"/>
      <c r="F40" s="2"/>
      <c r="G40" s="2"/>
      <c r="H40" s="2" t="s">
        <v>77</v>
      </c>
      <c r="I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customFormat="false" ht="13.5" hidden="false" customHeight="true" outlineLevel="0" collapsed="false">
      <c r="A41" s="3"/>
      <c r="B41" s="2"/>
      <c r="C41" s="2"/>
      <c r="D41" s="2"/>
      <c r="E41" s="2"/>
      <c r="F41" s="2"/>
      <c r="G41" s="2"/>
      <c r="H41" s="2"/>
      <c r="I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customFormat="false" ht="13.5" hidden="false" customHeight="true" outlineLevel="0" collapsed="false">
      <c r="A42" s="3"/>
      <c r="B42" s="2"/>
      <c r="C42" s="2"/>
      <c r="D42" s="2"/>
      <c r="E42" s="2"/>
      <c r="F42" s="2"/>
      <c r="G42" s="2"/>
      <c r="H42" s="2"/>
      <c r="I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customFormat="false" ht="13.5" hidden="false" customHeight="true" outlineLevel="0" collapsed="false">
      <c r="A43" s="3"/>
      <c r="B43" s="2"/>
      <c r="C43" s="2"/>
      <c r="D43" s="2"/>
      <c r="E43" s="2"/>
      <c r="F43" s="2"/>
      <c r="G43" s="2"/>
      <c r="H43" s="2"/>
      <c r="I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customFormat="false" ht="13.5" hidden="false" customHeight="true" outlineLevel="0" collapsed="false">
      <c r="A44" s="3"/>
      <c r="B44" s="2"/>
      <c r="C44" s="2"/>
      <c r="D44" s="2"/>
      <c r="E44" s="2"/>
      <c r="F44" s="2"/>
      <c r="G44" s="2"/>
      <c r="H44" s="2"/>
      <c r="I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customFormat="false" ht="13.5" hidden="false" customHeight="true" outlineLevel="0" collapsed="false">
      <c r="A45" s="3"/>
      <c r="B45" s="2"/>
      <c r="C45" s="2"/>
      <c r="D45" s="2"/>
      <c r="E45" s="2"/>
      <c r="F45" s="2"/>
      <c r="G45" s="2"/>
      <c r="H45" s="2"/>
      <c r="I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customFormat="false" ht="13.5" hidden="false" customHeight="true" outlineLevel="0" collapsed="false">
      <c r="A46" s="3"/>
      <c r="B46" s="2"/>
      <c r="C46" s="2"/>
      <c r="D46" s="2"/>
      <c r="E46" s="2"/>
      <c r="F46" s="2"/>
      <c r="G46" s="2"/>
      <c r="H46" s="2"/>
      <c r="I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customFormat="false" ht="13.5" hidden="false" customHeight="true" outlineLevel="0" collapsed="false">
      <c r="A47" s="3"/>
      <c r="B47" s="2"/>
      <c r="C47" s="2"/>
      <c r="D47" s="2"/>
      <c r="E47" s="2"/>
      <c r="F47" s="2"/>
      <c r="G47" s="2"/>
      <c r="H47" s="2"/>
      <c r="I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customFormat="false" ht="13.5" hidden="false" customHeight="true" outlineLevel="0" collapsed="false">
      <c r="A48" s="3"/>
      <c r="B48" s="2"/>
      <c r="C48" s="2"/>
      <c r="D48" s="2"/>
      <c r="E48" s="2"/>
      <c r="F48" s="2"/>
      <c r="G48" s="2"/>
      <c r="H48" s="2"/>
      <c r="I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customFormat="false" ht="13.5" hidden="false" customHeight="true" outlineLevel="0" collapsed="false">
      <c r="A49" s="3"/>
      <c r="B49" s="2"/>
      <c r="C49" s="2"/>
      <c r="D49" s="2"/>
      <c r="E49" s="2"/>
      <c r="F49" s="2"/>
      <c r="G49" s="2"/>
      <c r="H49" s="2"/>
      <c r="I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customFormat="false" ht="13.5" hidden="false" customHeight="true" outlineLevel="0" collapsed="false">
      <c r="A50" s="3"/>
      <c r="B50" s="2"/>
      <c r="C50" s="2"/>
      <c r="D50" s="2"/>
      <c r="E50" s="2"/>
      <c r="F50" s="2"/>
      <c r="G50" s="2"/>
      <c r="H50" s="2"/>
      <c r="I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customFormat="false" ht="13.5" hidden="false" customHeight="true" outlineLevel="0" collapsed="false">
      <c r="A51" s="3"/>
      <c r="B51" s="2"/>
      <c r="C51" s="2"/>
      <c r="D51" s="2"/>
      <c r="E51" s="2"/>
      <c r="F51" s="2"/>
      <c r="G51" s="2"/>
      <c r="H51" s="2"/>
      <c r="I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customFormat="false" ht="13.5" hidden="false" customHeight="true" outlineLevel="0" collapsed="false">
      <c r="A52" s="3"/>
      <c r="B52" s="2"/>
      <c r="C52" s="2"/>
      <c r="D52" s="2"/>
      <c r="E52" s="2"/>
      <c r="F52" s="2"/>
      <c r="G52" s="2"/>
      <c r="H52" s="2"/>
      <c r="I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customFormat="false" ht="13.5" hidden="false" customHeight="true" outlineLevel="0" collapsed="false">
      <c r="A53" s="3"/>
      <c r="B53" s="2"/>
      <c r="C53" s="2"/>
      <c r="D53" s="2"/>
      <c r="E53" s="2"/>
      <c r="F53" s="2"/>
      <c r="G53" s="2"/>
      <c r="H53" s="2"/>
      <c r="I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customFormat="false" ht="13.5" hidden="false" customHeight="true" outlineLevel="0" collapsed="false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customFormat="false" ht="13.5" hidden="false" customHeight="true" outlineLevel="0" collapsed="false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customFormat="false" ht="13.5" hidden="false" customHeight="true" outlineLevel="0" collapsed="false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customFormat="false" ht="13.5" hidden="false" customHeight="true" outlineLevel="0" collapsed="false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customFormat="false" ht="13.5" hidden="false" customHeight="true" outlineLevel="0" collapsed="false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customFormat="false" ht="13.5" hidden="false" customHeight="true" outlineLevel="0" collapsed="false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customFormat="false" ht="13.5" hidden="false" customHeight="true" outlineLevel="0" collapsed="false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customFormat="false" ht="13.5" hidden="false" customHeight="true" outlineLevel="0" collapsed="false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customFormat="false" ht="13.5" hidden="false" customHeight="true" outlineLevel="0" collapsed="false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customFormat="false" ht="13.5" hidden="false" customHeight="true" outlineLevel="0" collapsed="false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customFormat="false" ht="13.5" hidden="false" customHeight="true" outlineLevel="0" collapsed="false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customFormat="false" ht="13.5" hidden="false" customHeight="true" outlineLevel="0" collapsed="false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customFormat="false" ht="13.5" hidden="false" customHeight="true" outlineLevel="0" collapsed="false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customFormat="false" ht="13.5" hidden="false" customHeight="true" outlineLevel="0" collapsed="false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customFormat="false" ht="13.5" hidden="false" customHeight="true" outlineLevel="0" collapsed="false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customFormat="false" ht="13.5" hidden="false" customHeight="true" outlineLevel="0" collapsed="false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customFormat="false" ht="13.5" hidden="false" customHeight="true" outlineLevel="0" collapsed="false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customFormat="false" ht="13.5" hidden="false" customHeight="true" outlineLevel="0" collapsed="false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customFormat="false" ht="13.5" hidden="false" customHeight="true" outlineLevel="0" collapsed="false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customFormat="false" ht="13.5" hidden="false" customHeight="true" outlineLevel="0" collapsed="false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customFormat="false" ht="13.5" hidden="false" customHeight="true" outlineLevel="0" collapsed="false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customFormat="false" ht="13.5" hidden="false" customHeight="true" outlineLevel="0" collapsed="false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customFormat="false" ht="13.5" hidden="false" customHeight="true" outlineLevel="0" collapsed="false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customFormat="false" ht="13.5" hidden="false" customHeight="true" outlineLevel="0" collapsed="false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customFormat="false" ht="13.5" hidden="false" customHeight="true" outlineLevel="0" collapsed="false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customFormat="false" ht="13.5" hidden="false" customHeight="true" outlineLevel="0" collapsed="false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customFormat="false" ht="13.5" hidden="false" customHeight="true" outlineLevel="0" collapsed="false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customFormat="false" ht="13.5" hidden="false" customHeight="true" outlineLevel="0" collapsed="false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customFormat="false" ht="13.5" hidden="false" customHeight="true" outlineLevel="0" collapsed="false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customFormat="false" ht="13.5" hidden="false" customHeight="true" outlineLevel="0" collapsed="false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customFormat="false" ht="13.5" hidden="false" customHeight="true" outlineLevel="0" collapsed="false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customFormat="false" ht="13.5" hidden="false" customHeight="true" outlineLevel="0" collapsed="false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customFormat="false" ht="13.5" hidden="false" customHeight="true" outlineLevel="0" collapsed="false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customFormat="false" ht="13.5" hidden="false" customHeight="true" outlineLevel="0" collapsed="false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customFormat="false" ht="13.5" hidden="false" customHeight="true" outlineLevel="0" collapsed="false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customFormat="false" ht="13.5" hidden="false" customHeight="true" outlineLevel="0" collapsed="false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customFormat="false" ht="13.5" hidden="false" customHeight="true" outlineLevel="0" collapsed="false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customFormat="false" ht="13.5" hidden="false" customHeight="true" outlineLevel="0" collapsed="false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customFormat="false" ht="13.5" hidden="false" customHeight="true" outlineLevel="0" collapsed="false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customFormat="false" ht="13.5" hidden="false" customHeight="true" outlineLevel="0" collapsed="false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customFormat="false" ht="13.5" hidden="false" customHeight="true" outlineLevel="0" collapsed="false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customFormat="false" ht="13.5" hidden="false" customHeight="true" outlineLevel="0" collapsed="false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customFormat="false" ht="13.5" hidden="false" customHeight="true" outlineLevel="0" collapsed="false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customFormat="false" ht="13.5" hidden="false" customHeight="true" outlineLevel="0" collapsed="false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customFormat="false" ht="13.5" hidden="false" customHeight="true" outlineLevel="0" collapsed="false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customFormat="false" ht="13.5" hidden="false" customHeight="true" outlineLevel="0" collapsed="false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customFormat="false" ht="13.5" hidden="false" customHeight="true" outlineLevel="0" collapsed="false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customFormat="false" ht="13.5" hidden="false" customHeight="true" outlineLevel="0" collapsed="false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customFormat="false" ht="13.5" hidden="false" customHeight="true" outlineLevel="0" collapsed="false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customFormat="false" ht="13.5" hidden="false" customHeight="true" outlineLevel="0" collapsed="false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customFormat="false" ht="13.5" hidden="false" customHeight="true" outlineLevel="0" collapsed="false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customFormat="false" ht="13.5" hidden="false" customHeight="true" outlineLevel="0" collapsed="false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customFormat="false" ht="13.5" hidden="false" customHeight="true" outlineLevel="0" collapsed="false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customFormat="false" ht="13.5" hidden="false" customHeight="true" outlineLevel="0" collapsed="false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customFormat="false" ht="13.5" hidden="false" customHeight="true" outlineLevel="0" collapsed="false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customFormat="false" ht="13.5" hidden="false" customHeight="true" outlineLevel="0" collapsed="false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customFormat="false" ht="13.5" hidden="false" customHeight="true" outlineLevel="0" collapsed="false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customFormat="false" ht="13.5" hidden="false" customHeight="true" outlineLevel="0" collapsed="false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customFormat="false" ht="13.5" hidden="false" customHeight="true" outlineLevel="0" collapsed="false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customFormat="false" ht="13.5" hidden="false" customHeight="true" outlineLevel="0" collapsed="false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customFormat="false" ht="13.5" hidden="false" customHeight="true" outlineLevel="0" collapsed="false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customFormat="false" ht="13.5" hidden="false" customHeight="true" outlineLevel="0" collapsed="false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customFormat="false" ht="13.5" hidden="false" customHeight="true" outlineLevel="0" collapsed="false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customFormat="false" ht="13.5" hidden="false" customHeight="true" outlineLevel="0" collapsed="false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customFormat="false" ht="13.5" hidden="false" customHeight="true" outlineLevel="0" collapsed="false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customFormat="false" ht="13.5" hidden="false" customHeight="true" outlineLevel="0" collapsed="false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customFormat="false" ht="13.5" hidden="false" customHeight="true" outlineLevel="0" collapsed="false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customFormat="false" ht="13.5" hidden="false" customHeight="true" outlineLevel="0" collapsed="false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customFormat="false" ht="13.5" hidden="false" customHeight="true" outlineLevel="0" collapsed="false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customFormat="false" ht="13.5" hidden="false" customHeight="true" outlineLevel="0" collapsed="false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customFormat="false" ht="13.5" hidden="false" customHeight="true" outlineLevel="0" collapsed="false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customFormat="false" ht="13.5" hidden="false" customHeight="true" outlineLevel="0" collapsed="false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customFormat="false" ht="13.5" hidden="false" customHeight="true" outlineLevel="0" collapsed="false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customFormat="false" ht="13.5" hidden="false" customHeight="true" outlineLevel="0" collapsed="false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customFormat="false" ht="13.5" hidden="false" customHeight="true" outlineLevel="0" collapsed="false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customFormat="false" ht="13.5" hidden="false" customHeight="true" outlineLevel="0" collapsed="false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customFormat="false" ht="13.5" hidden="false" customHeight="true" outlineLevel="0" collapsed="false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customFormat="false" ht="13.5" hidden="false" customHeight="true" outlineLevel="0" collapsed="false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customFormat="false" ht="13.5" hidden="false" customHeight="true" outlineLevel="0" collapsed="false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customFormat="false" ht="13.5" hidden="false" customHeight="true" outlineLevel="0" collapsed="false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customFormat="false" ht="13.5" hidden="false" customHeight="true" outlineLevel="0" collapsed="false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customFormat="false" ht="13.5" hidden="false" customHeight="true" outlineLevel="0" collapsed="false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customFormat="false" ht="13.5" hidden="false" customHeight="true" outlineLevel="0" collapsed="false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customFormat="false" ht="13.5" hidden="false" customHeight="true" outlineLevel="0" collapsed="false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customFormat="false" ht="13.5" hidden="false" customHeight="true" outlineLevel="0" collapsed="false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customFormat="false" ht="13.5" hidden="false" customHeight="true" outlineLevel="0" collapsed="false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customFormat="false" ht="13.5" hidden="false" customHeight="true" outlineLevel="0" collapsed="false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customFormat="false" ht="13.5" hidden="false" customHeight="true" outlineLevel="0" collapsed="false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customFormat="false" ht="13.5" hidden="false" customHeight="true" outlineLevel="0" collapsed="false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customFormat="false" ht="13.5" hidden="false" customHeight="true" outlineLevel="0" collapsed="false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customFormat="false" ht="13.5" hidden="false" customHeight="true" outlineLevel="0" collapsed="false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customFormat="false" ht="13.5" hidden="false" customHeight="true" outlineLevel="0" collapsed="false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customFormat="false" ht="13.5" hidden="false" customHeight="true" outlineLevel="0" collapsed="false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customFormat="false" ht="13.5" hidden="false" customHeight="true" outlineLevel="0" collapsed="false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customFormat="false" ht="13.5" hidden="false" customHeight="true" outlineLevel="0" collapsed="false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customFormat="false" ht="13.5" hidden="false" customHeight="true" outlineLevel="0" collapsed="false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customFormat="false" ht="13.5" hidden="false" customHeight="true" outlineLevel="0" collapsed="false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customFormat="false" ht="13.5" hidden="false" customHeight="true" outlineLevel="0" collapsed="false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customFormat="false" ht="13.5" hidden="false" customHeight="true" outlineLevel="0" collapsed="false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customFormat="false" ht="13.5" hidden="false" customHeight="true" outlineLevel="0" collapsed="false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customFormat="false" ht="13.5" hidden="false" customHeight="true" outlineLevel="0" collapsed="false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customFormat="false" ht="13.5" hidden="false" customHeight="true" outlineLevel="0" collapsed="false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customFormat="false" ht="13.5" hidden="false" customHeight="true" outlineLevel="0" collapsed="false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customFormat="false" ht="13.5" hidden="false" customHeight="true" outlineLevel="0" collapsed="false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customFormat="false" ht="13.5" hidden="false" customHeight="true" outlineLevel="0" collapsed="false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customFormat="false" ht="13.5" hidden="false" customHeight="true" outlineLevel="0" collapsed="false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customFormat="false" ht="13.5" hidden="false" customHeight="true" outlineLevel="0" collapsed="false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customFormat="false" ht="13.5" hidden="false" customHeight="true" outlineLevel="0" collapsed="false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customFormat="false" ht="13.5" hidden="false" customHeight="true" outlineLevel="0" collapsed="false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customFormat="false" ht="13.5" hidden="false" customHeight="true" outlineLevel="0" collapsed="false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customFormat="false" ht="13.5" hidden="false" customHeight="true" outlineLevel="0" collapsed="false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customFormat="false" ht="13.5" hidden="false" customHeight="true" outlineLevel="0" collapsed="false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customFormat="false" ht="13.5" hidden="false" customHeight="true" outlineLevel="0" collapsed="false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customFormat="false" ht="13.5" hidden="false" customHeight="true" outlineLevel="0" collapsed="false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customFormat="false" ht="13.5" hidden="false" customHeight="true" outlineLevel="0" collapsed="false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customFormat="false" ht="13.5" hidden="false" customHeight="true" outlineLevel="0" collapsed="false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customFormat="false" ht="13.5" hidden="false" customHeight="true" outlineLevel="0" collapsed="false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customFormat="false" ht="13.5" hidden="false" customHeight="true" outlineLevel="0" collapsed="false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customFormat="false" ht="13.5" hidden="false" customHeight="true" outlineLevel="0" collapsed="false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customFormat="false" ht="13.5" hidden="false" customHeight="true" outlineLevel="0" collapsed="false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customFormat="false" ht="13.5" hidden="false" customHeight="true" outlineLevel="0" collapsed="false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customFormat="false" ht="13.5" hidden="false" customHeight="true" outlineLevel="0" collapsed="false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customFormat="false" ht="13.5" hidden="false" customHeight="true" outlineLevel="0" collapsed="false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customFormat="false" ht="13.5" hidden="false" customHeight="true" outlineLevel="0" collapsed="false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customFormat="false" ht="13.5" hidden="false" customHeight="true" outlineLevel="0" collapsed="false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customFormat="false" ht="13.5" hidden="false" customHeight="true" outlineLevel="0" collapsed="false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customFormat="false" ht="13.5" hidden="false" customHeight="true" outlineLevel="0" collapsed="false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customFormat="false" ht="13.5" hidden="false" customHeight="true" outlineLevel="0" collapsed="false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customFormat="false" ht="13.5" hidden="false" customHeight="true" outlineLevel="0" collapsed="false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customFormat="false" ht="13.5" hidden="false" customHeight="true" outlineLevel="0" collapsed="false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customFormat="false" ht="13.5" hidden="false" customHeight="true" outlineLevel="0" collapsed="false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customFormat="false" ht="13.5" hidden="false" customHeight="true" outlineLevel="0" collapsed="false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customFormat="false" ht="13.5" hidden="false" customHeight="true" outlineLevel="0" collapsed="false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customFormat="false" ht="13.5" hidden="false" customHeight="true" outlineLevel="0" collapsed="false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customFormat="false" ht="13.5" hidden="false" customHeight="true" outlineLevel="0" collapsed="false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customFormat="false" ht="13.5" hidden="false" customHeight="true" outlineLevel="0" collapsed="false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customFormat="false" ht="13.5" hidden="false" customHeight="true" outlineLevel="0" collapsed="false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customFormat="false" ht="13.5" hidden="false" customHeight="true" outlineLevel="0" collapsed="false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customFormat="false" ht="13.5" hidden="false" customHeight="true" outlineLevel="0" collapsed="false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customFormat="false" ht="13.5" hidden="false" customHeight="true" outlineLevel="0" collapsed="false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customFormat="false" ht="13.5" hidden="false" customHeight="true" outlineLevel="0" collapsed="false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customFormat="false" ht="13.5" hidden="false" customHeight="true" outlineLevel="0" collapsed="false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customFormat="false" ht="13.5" hidden="false" customHeight="true" outlineLevel="0" collapsed="false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customFormat="false" ht="13.5" hidden="false" customHeight="true" outlineLevel="0" collapsed="false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customFormat="false" ht="13.5" hidden="false" customHeight="true" outlineLevel="0" collapsed="false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customFormat="false" ht="13.5" hidden="false" customHeight="true" outlineLevel="0" collapsed="false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customFormat="false" ht="13.5" hidden="false" customHeight="true" outlineLevel="0" collapsed="false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customFormat="false" ht="13.5" hidden="false" customHeight="true" outlineLevel="0" collapsed="false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customFormat="false" ht="13.5" hidden="false" customHeight="true" outlineLevel="0" collapsed="false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customFormat="false" ht="13.5" hidden="false" customHeight="true" outlineLevel="0" collapsed="false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customFormat="false" ht="13.5" hidden="false" customHeight="true" outlineLevel="0" collapsed="false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customFormat="false" ht="13.5" hidden="false" customHeight="true" outlineLevel="0" collapsed="false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customFormat="false" ht="13.5" hidden="false" customHeight="true" outlineLevel="0" collapsed="false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customFormat="false" ht="13.5" hidden="false" customHeight="true" outlineLevel="0" collapsed="false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customFormat="false" ht="13.5" hidden="false" customHeight="true" outlineLevel="0" collapsed="false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customFormat="false" ht="13.5" hidden="false" customHeight="true" outlineLevel="0" collapsed="false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customFormat="false" ht="13.5" hidden="false" customHeight="true" outlineLevel="0" collapsed="false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customFormat="false" ht="13.5" hidden="false" customHeight="true" outlineLevel="0" collapsed="false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customFormat="false" ht="13.5" hidden="false" customHeight="true" outlineLevel="0" collapsed="false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customFormat="false" ht="13.5" hidden="false" customHeight="true" outlineLevel="0" collapsed="false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customFormat="false" ht="13.5" hidden="false" customHeight="true" outlineLevel="0" collapsed="false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customFormat="false" ht="13.5" hidden="false" customHeight="true" outlineLevel="0" collapsed="false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customFormat="false" ht="13.5" hidden="false" customHeight="true" outlineLevel="0" collapsed="false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customFormat="false" ht="13.5" hidden="false" customHeight="true" outlineLevel="0" collapsed="false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customFormat="false" ht="13.5" hidden="false" customHeight="true" outlineLevel="0" collapsed="false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customFormat="false" ht="13.5" hidden="false" customHeight="true" outlineLevel="0" collapsed="false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customFormat="false" ht="13.5" hidden="false" customHeight="true" outlineLevel="0" collapsed="false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customFormat="false" ht="13.5" hidden="false" customHeight="true" outlineLevel="0" collapsed="false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customFormat="false" ht="13.5" hidden="false" customHeight="true" outlineLevel="0" collapsed="false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customFormat="false" ht="13.5" hidden="false" customHeight="true" outlineLevel="0" collapsed="false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customFormat="false" ht="13.5" hidden="false" customHeight="true" outlineLevel="0" collapsed="false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customFormat="false" ht="13.5" hidden="false" customHeight="true" outlineLevel="0" collapsed="false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customFormat="false" ht="13.5" hidden="false" customHeight="true" outlineLevel="0" collapsed="false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customFormat="false" ht="13.5" hidden="false" customHeight="true" outlineLevel="0" collapsed="false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customFormat="false" ht="13.5" hidden="false" customHeight="true" outlineLevel="0" collapsed="false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customFormat="false" ht="13.5" hidden="false" customHeight="true" outlineLevel="0" collapsed="false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customFormat="false" ht="13.5" hidden="false" customHeight="true" outlineLevel="0" collapsed="false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customFormat="false" ht="13.5" hidden="false" customHeight="true" outlineLevel="0" collapsed="false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customFormat="false" ht="13.5" hidden="false" customHeight="true" outlineLevel="0" collapsed="false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customFormat="false" ht="13.5" hidden="false" customHeight="true" outlineLevel="0" collapsed="false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customFormat="false" ht="13.5" hidden="false" customHeight="true" outlineLevel="0" collapsed="false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customFormat="false" ht="13.5" hidden="false" customHeight="true" outlineLevel="0" collapsed="false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customFormat="false" ht="13.5" hidden="false" customHeight="true" outlineLevel="0" collapsed="false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customFormat="false" ht="13.5" hidden="false" customHeight="true" outlineLevel="0" collapsed="false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customFormat="false" ht="13.5" hidden="false" customHeight="true" outlineLevel="0" collapsed="false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customFormat="false" ht="13.5" hidden="false" customHeight="true" outlineLevel="0" collapsed="false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customFormat="false" ht="13.5" hidden="false" customHeight="true" outlineLevel="0" collapsed="false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customFormat="false" ht="13.5" hidden="false" customHeight="true" outlineLevel="0" collapsed="false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customFormat="false" ht="13.5" hidden="false" customHeight="true" outlineLevel="0" collapsed="false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customFormat="false" ht="13.5" hidden="false" customHeight="true" outlineLevel="0" collapsed="false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customFormat="false" ht="13.5" hidden="false" customHeight="true" outlineLevel="0" collapsed="false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customFormat="false" ht="13.5" hidden="false" customHeight="true" outlineLevel="0" collapsed="false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customFormat="false" ht="13.5" hidden="false" customHeight="true" outlineLevel="0" collapsed="false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customFormat="false" ht="13.5" hidden="false" customHeight="true" outlineLevel="0" collapsed="false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customFormat="false" ht="13.5" hidden="false" customHeight="true" outlineLevel="0" collapsed="false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customFormat="false" ht="13.5" hidden="false" customHeight="true" outlineLevel="0" collapsed="false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customFormat="false" ht="13.5" hidden="false" customHeight="true" outlineLevel="0" collapsed="false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customFormat="false" ht="13.5" hidden="false" customHeight="true" outlineLevel="0" collapsed="false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customFormat="false" ht="13.5" hidden="false" customHeight="true" outlineLevel="0" collapsed="false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customFormat="false" ht="13.5" hidden="false" customHeight="true" outlineLevel="0" collapsed="false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customFormat="false" ht="13.5" hidden="false" customHeight="true" outlineLevel="0" collapsed="false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customFormat="false" ht="13.5" hidden="false" customHeight="true" outlineLevel="0" collapsed="false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customFormat="false" ht="13.5" hidden="false" customHeight="true" outlineLevel="0" collapsed="false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customFormat="false" ht="13.5" hidden="false" customHeight="true" outlineLevel="0" collapsed="false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customFormat="false" ht="13.5" hidden="false" customHeight="true" outlineLevel="0" collapsed="false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customFormat="false" ht="13.5" hidden="false" customHeight="true" outlineLevel="0" collapsed="false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customFormat="false" ht="13.5" hidden="false" customHeight="true" outlineLevel="0" collapsed="false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customFormat="false" ht="13.5" hidden="false" customHeight="true" outlineLevel="0" collapsed="false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customFormat="false" ht="13.5" hidden="false" customHeight="true" outlineLevel="0" collapsed="false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customFormat="false" ht="13.5" hidden="false" customHeight="true" outlineLevel="0" collapsed="false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customFormat="false" ht="13.5" hidden="false" customHeight="true" outlineLevel="0" collapsed="false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customFormat="false" ht="13.5" hidden="false" customHeight="true" outlineLevel="0" collapsed="false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customFormat="false" ht="13.5" hidden="false" customHeight="true" outlineLevel="0" collapsed="false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customFormat="false" ht="13.5" hidden="false" customHeight="true" outlineLevel="0" collapsed="false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customFormat="false" ht="13.5" hidden="false" customHeight="true" outlineLevel="0" collapsed="false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customFormat="false" ht="13.5" hidden="false" customHeight="true" outlineLevel="0" collapsed="false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customFormat="false" ht="13.5" hidden="false" customHeight="true" outlineLevel="0" collapsed="false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customFormat="false" ht="13.5" hidden="false" customHeight="true" outlineLevel="0" collapsed="false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customFormat="false" ht="13.5" hidden="false" customHeight="true" outlineLevel="0" collapsed="false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customFormat="false" ht="13.5" hidden="false" customHeight="true" outlineLevel="0" collapsed="false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customFormat="false" ht="13.5" hidden="false" customHeight="true" outlineLevel="0" collapsed="false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customFormat="false" ht="13.5" hidden="false" customHeight="true" outlineLevel="0" collapsed="false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customFormat="false" ht="13.5" hidden="false" customHeight="true" outlineLevel="0" collapsed="false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customFormat="false" ht="13.5" hidden="false" customHeight="true" outlineLevel="0" collapsed="false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customFormat="false" ht="13.5" hidden="false" customHeight="true" outlineLevel="0" collapsed="false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customFormat="false" ht="13.5" hidden="false" customHeight="true" outlineLevel="0" collapsed="false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customFormat="false" ht="13.5" hidden="false" customHeight="true" outlineLevel="0" collapsed="false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customFormat="false" ht="13.5" hidden="false" customHeight="true" outlineLevel="0" collapsed="false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customFormat="false" ht="13.5" hidden="false" customHeight="true" outlineLevel="0" collapsed="false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customFormat="false" ht="13.5" hidden="false" customHeight="true" outlineLevel="0" collapsed="false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customFormat="false" ht="13.5" hidden="false" customHeight="true" outlineLevel="0" collapsed="false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customFormat="false" ht="13.5" hidden="false" customHeight="true" outlineLevel="0" collapsed="false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customFormat="false" ht="13.5" hidden="false" customHeight="true" outlineLevel="0" collapsed="false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customFormat="false" ht="13.5" hidden="false" customHeight="true" outlineLevel="0" collapsed="false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customFormat="false" ht="13.5" hidden="false" customHeight="true" outlineLevel="0" collapsed="false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customFormat="false" ht="13.5" hidden="false" customHeight="true" outlineLevel="0" collapsed="false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customFormat="false" ht="13.5" hidden="false" customHeight="true" outlineLevel="0" collapsed="false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customFormat="false" ht="13.5" hidden="false" customHeight="true" outlineLevel="0" collapsed="false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customFormat="false" ht="13.5" hidden="false" customHeight="true" outlineLevel="0" collapsed="false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customFormat="false" ht="13.5" hidden="false" customHeight="true" outlineLevel="0" collapsed="false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customFormat="false" ht="13.5" hidden="false" customHeight="true" outlineLevel="0" collapsed="false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customFormat="false" ht="13.5" hidden="false" customHeight="true" outlineLevel="0" collapsed="false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customFormat="false" ht="13.5" hidden="false" customHeight="true" outlineLevel="0" collapsed="false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customFormat="false" ht="13.5" hidden="false" customHeight="true" outlineLevel="0" collapsed="false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customFormat="false" ht="13.5" hidden="false" customHeight="true" outlineLevel="0" collapsed="false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customFormat="false" ht="13.5" hidden="false" customHeight="true" outlineLevel="0" collapsed="false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customFormat="false" ht="13.5" hidden="false" customHeight="true" outlineLevel="0" collapsed="false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customFormat="false" ht="13.5" hidden="false" customHeight="true" outlineLevel="0" collapsed="false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customFormat="false" ht="13.5" hidden="false" customHeight="true" outlineLevel="0" collapsed="false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customFormat="false" ht="13.5" hidden="false" customHeight="true" outlineLevel="0" collapsed="false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customFormat="false" ht="13.5" hidden="false" customHeight="true" outlineLevel="0" collapsed="false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customFormat="false" ht="13.5" hidden="false" customHeight="true" outlineLevel="0" collapsed="false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customFormat="false" ht="13.5" hidden="false" customHeight="true" outlineLevel="0" collapsed="false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customFormat="false" ht="13.5" hidden="false" customHeight="true" outlineLevel="0" collapsed="false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customFormat="false" ht="13.5" hidden="false" customHeight="true" outlineLevel="0" collapsed="false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customFormat="false" ht="13.5" hidden="false" customHeight="true" outlineLevel="0" collapsed="false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customFormat="false" ht="13.5" hidden="false" customHeight="true" outlineLevel="0" collapsed="false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customFormat="false" ht="13.5" hidden="false" customHeight="true" outlineLevel="0" collapsed="false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customFormat="false" ht="13.5" hidden="false" customHeight="true" outlineLevel="0" collapsed="false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customFormat="false" ht="13.5" hidden="false" customHeight="true" outlineLevel="0" collapsed="false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customFormat="false" ht="13.5" hidden="false" customHeight="true" outlineLevel="0" collapsed="false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customFormat="false" ht="13.5" hidden="false" customHeight="true" outlineLevel="0" collapsed="false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customFormat="false" ht="13.5" hidden="false" customHeight="true" outlineLevel="0" collapsed="false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customFormat="false" ht="13.5" hidden="false" customHeight="true" outlineLevel="0" collapsed="false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customFormat="false" ht="13.5" hidden="false" customHeight="true" outlineLevel="0" collapsed="false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customFormat="false" ht="13.5" hidden="false" customHeight="true" outlineLevel="0" collapsed="false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customFormat="false" ht="13.5" hidden="false" customHeight="true" outlineLevel="0" collapsed="false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customFormat="false" ht="13.5" hidden="false" customHeight="true" outlineLevel="0" collapsed="false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customFormat="false" ht="13.5" hidden="false" customHeight="true" outlineLevel="0" collapsed="false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customFormat="false" ht="13.5" hidden="false" customHeight="true" outlineLevel="0" collapsed="false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customFormat="false" ht="13.5" hidden="false" customHeight="true" outlineLevel="0" collapsed="false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customFormat="false" ht="13.5" hidden="false" customHeight="true" outlineLevel="0" collapsed="false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customFormat="false" ht="13.5" hidden="false" customHeight="true" outlineLevel="0" collapsed="false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customFormat="false" ht="13.5" hidden="false" customHeight="true" outlineLevel="0" collapsed="false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customFormat="false" ht="13.5" hidden="false" customHeight="true" outlineLevel="0" collapsed="false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customFormat="false" ht="13.5" hidden="false" customHeight="true" outlineLevel="0" collapsed="false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customFormat="false" ht="13.5" hidden="false" customHeight="true" outlineLevel="0" collapsed="false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customFormat="false" ht="13.5" hidden="false" customHeight="true" outlineLevel="0" collapsed="false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customFormat="false" ht="13.5" hidden="false" customHeight="true" outlineLevel="0" collapsed="false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customFormat="false" ht="13.5" hidden="false" customHeight="true" outlineLevel="0" collapsed="false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customFormat="false" ht="13.5" hidden="false" customHeight="true" outlineLevel="0" collapsed="false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customFormat="false" ht="13.5" hidden="false" customHeight="true" outlineLevel="0" collapsed="false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customFormat="false" ht="13.5" hidden="false" customHeight="true" outlineLevel="0" collapsed="false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customFormat="false" ht="13.5" hidden="false" customHeight="true" outlineLevel="0" collapsed="false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customFormat="false" ht="13.5" hidden="false" customHeight="true" outlineLevel="0" collapsed="false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customFormat="false" ht="13.5" hidden="false" customHeight="true" outlineLevel="0" collapsed="false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customFormat="false" ht="13.5" hidden="false" customHeight="true" outlineLevel="0" collapsed="false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customFormat="false" ht="13.5" hidden="false" customHeight="true" outlineLevel="0" collapsed="false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customFormat="false" ht="13.5" hidden="false" customHeight="true" outlineLevel="0" collapsed="false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customFormat="false" ht="13.5" hidden="false" customHeight="true" outlineLevel="0" collapsed="false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customFormat="false" ht="13.5" hidden="false" customHeight="true" outlineLevel="0" collapsed="false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customFormat="false" ht="13.5" hidden="false" customHeight="true" outlineLevel="0" collapsed="false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customFormat="false" ht="13.5" hidden="false" customHeight="true" outlineLevel="0" collapsed="false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customFormat="false" ht="13.5" hidden="false" customHeight="true" outlineLevel="0" collapsed="false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customFormat="false" ht="13.5" hidden="false" customHeight="true" outlineLevel="0" collapsed="false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customFormat="false" ht="13.5" hidden="false" customHeight="true" outlineLevel="0" collapsed="false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customFormat="false" ht="13.5" hidden="false" customHeight="true" outlineLevel="0" collapsed="false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customFormat="false" ht="13.5" hidden="false" customHeight="true" outlineLevel="0" collapsed="false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customFormat="false" ht="13.5" hidden="false" customHeight="true" outlineLevel="0" collapsed="false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customFormat="false" ht="13.5" hidden="false" customHeight="true" outlineLevel="0" collapsed="false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customFormat="false" ht="13.5" hidden="false" customHeight="true" outlineLevel="0" collapsed="false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customFormat="false" ht="13.5" hidden="false" customHeight="true" outlineLevel="0" collapsed="false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customFormat="false" ht="13.5" hidden="false" customHeight="true" outlineLevel="0" collapsed="false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customFormat="false" ht="13.5" hidden="false" customHeight="true" outlineLevel="0" collapsed="false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customFormat="false" ht="13.5" hidden="false" customHeight="true" outlineLevel="0" collapsed="false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customFormat="false" ht="13.5" hidden="false" customHeight="true" outlineLevel="0" collapsed="false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customFormat="false" ht="13.5" hidden="false" customHeight="true" outlineLevel="0" collapsed="false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customFormat="false" ht="13.5" hidden="false" customHeight="true" outlineLevel="0" collapsed="false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customFormat="false" ht="13.5" hidden="false" customHeight="true" outlineLevel="0" collapsed="false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customFormat="false" ht="13.5" hidden="false" customHeight="true" outlineLevel="0" collapsed="false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customFormat="false" ht="13.5" hidden="false" customHeight="true" outlineLevel="0" collapsed="false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customFormat="false" ht="13.5" hidden="false" customHeight="true" outlineLevel="0" collapsed="false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customFormat="false" ht="13.5" hidden="false" customHeight="true" outlineLevel="0" collapsed="false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customFormat="false" ht="13.5" hidden="false" customHeight="true" outlineLevel="0" collapsed="false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customFormat="false" ht="13.5" hidden="false" customHeight="true" outlineLevel="0" collapsed="false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customFormat="false" ht="13.5" hidden="false" customHeight="true" outlineLevel="0" collapsed="false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customFormat="false" ht="13.5" hidden="false" customHeight="true" outlineLevel="0" collapsed="false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customFormat="false" ht="13.5" hidden="false" customHeight="true" outlineLevel="0" collapsed="false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customFormat="false" ht="13.5" hidden="false" customHeight="true" outlineLevel="0" collapsed="false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customFormat="false" ht="13.5" hidden="false" customHeight="true" outlineLevel="0" collapsed="false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customFormat="false" ht="13.5" hidden="false" customHeight="true" outlineLevel="0" collapsed="false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customFormat="false" ht="13.5" hidden="false" customHeight="true" outlineLevel="0" collapsed="false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customFormat="false" ht="13.5" hidden="false" customHeight="true" outlineLevel="0" collapsed="false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customFormat="false" ht="13.5" hidden="false" customHeight="true" outlineLevel="0" collapsed="false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customFormat="false" ht="13.5" hidden="false" customHeight="true" outlineLevel="0" collapsed="false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customFormat="false" ht="13.5" hidden="false" customHeight="true" outlineLevel="0" collapsed="false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customFormat="false" ht="13.5" hidden="false" customHeight="true" outlineLevel="0" collapsed="false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customFormat="false" ht="13.5" hidden="false" customHeight="true" outlineLevel="0" collapsed="false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customFormat="false" ht="13.5" hidden="false" customHeight="true" outlineLevel="0" collapsed="false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customFormat="false" ht="13.5" hidden="false" customHeight="true" outlineLevel="0" collapsed="false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customFormat="false" ht="13.5" hidden="false" customHeight="true" outlineLevel="0" collapsed="false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customFormat="false" ht="13.5" hidden="false" customHeight="true" outlineLevel="0" collapsed="false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customFormat="false" ht="13.5" hidden="false" customHeight="true" outlineLevel="0" collapsed="false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customFormat="false" ht="13.5" hidden="false" customHeight="true" outlineLevel="0" collapsed="false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customFormat="false" ht="13.5" hidden="false" customHeight="true" outlineLevel="0" collapsed="false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customFormat="false" ht="13.5" hidden="false" customHeight="true" outlineLevel="0" collapsed="false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customFormat="false" ht="13.5" hidden="false" customHeight="true" outlineLevel="0" collapsed="false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customFormat="false" ht="13.5" hidden="false" customHeight="true" outlineLevel="0" collapsed="false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customFormat="false" ht="13.5" hidden="false" customHeight="true" outlineLevel="0" collapsed="false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customFormat="false" ht="13.5" hidden="false" customHeight="true" outlineLevel="0" collapsed="false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customFormat="false" ht="13.5" hidden="false" customHeight="true" outlineLevel="0" collapsed="false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customFormat="false" ht="13.5" hidden="false" customHeight="true" outlineLevel="0" collapsed="false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customFormat="false" ht="13.5" hidden="false" customHeight="true" outlineLevel="0" collapsed="false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customFormat="false" ht="13.5" hidden="false" customHeight="true" outlineLevel="0" collapsed="false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customFormat="false" ht="13.5" hidden="false" customHeight="true" outlineLevel="0" collapsed="false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customFormat="false" ht="13.5" hidden="false" customHeight="true" outlineLevel="0" collapsed="false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customFormat="false" ht="13.5" hidden="false" customHeight="true" outlineLevel="0" collapsed="false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customFormat="false" ht="13.5" hidden="false" customHeight="true" outlineLevel="0" collapsed="false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customFormat="false" ht="13.5" hidden="false" customHeight="true" outlineLevel="0" collapsed="false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customFormat="false" ht="13.5" hidden="false" customHeight="true" outlineLevel="0" collapsed="false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customFormat="false" ht="13.5" hidden="false" customHeight="true" outlineLevel="0" collapsed="false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customFormat="false" ht="13.5" hidden="false" customHeight="true" outlineLevel="0" collapsed="false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customFormat="false" ht="13.5" hidden="false" customHeight="true" outlineLevel="0" collapsed="false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customFormat="false" ht="13.5" hidden="false" customHeight="true" outlineLevel="0" collapsed="false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customFormat="false" ht="13.5" hidden="false" customHeight="true" outlineLevel="0" collapsed="false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customFormat="false" ht="13.5" hidden="false" customHeight="true" outlineLevel="0" collapsed="false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customFormat="false" ht="13.5" hidden="false" customHeight="true" outlineLevel="0" collapsed="false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customFormat="false" ht="13.5" hidden="false" customHeight="true" outlineLevel="0" collapsed="false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customFormat="false" ht="13.5" hidden="false" customHeight="true" outlineLevel="0" collapsed="false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customFormat="false" ht="13.5" hidden="false" customHeight="true" outlineLevel="0" collapsed="false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customFormat="false" ht="13.5" hidden="false" customHeight="true" outlineLevel="0" collapsed="false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customFormat="false" ht="13.5" hidden="false" customHeight="true" outlineLevel="0" collapsed="false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customFormat="false" ht="13.5" hidden="false" customHeight="true" outlineLevel="0" collapsed="false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customFormat="false" ht="13.5" hidden="false" customHeight="true" outlineLevel="0" collapsed="false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customFormat="false" ht="13.5" hidden="false" customHeight="true" outlineLevel="0" collapsed="false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customFormat="false" ht="13.5" hidden="false" customHeight="true" outlineLevel="0" collapsed="false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customFormat="false" ht="13.5" hidden="false" customHeight="true" outlineLevel="0" collapsed="false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customFormat="false" ht="13.5" hidden="false" customHeight="true" outlineLevel="0" collapsed="false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customFormat="false" ht="13.5" hidden="false" customHeight="true" outlineLevel="0" collapsed="false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customFormat="false" ht="13.5" hidden="false" customHeight="true" outlineLevel="0" collapsed="false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customFormat="false" ht="13.5" hidden="false" customHeight="true" outlineLevel="0" collapsed="false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customFormat="false" ht="13.5" hidden="false" customHeight="true" outlineLevel="0" collapsed="false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customFormat="false" ht="13.5" hidden="false" customHeight="true" outlineLevel="0" collapsed="false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customFormat="false" ht="13.5" hidden="false" customHeight="true" outlineLevel="0" collapsed="false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customFormat="false" ht="13.5" hidden="false" customHeight="true" outlineLevel="0" collapsed="false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customFormat="false" ht="13.5" hidden="false" customHeight="true" outlineLevel="0" collapsed="false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customFormat="false" ht="13.5" hidden="false" customHeight="true" outlineLevel="0" collapsed="false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customFormat="false" ht="13.5" hidden="false" customHeight="true" outlineLevel="0" collapsed="false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customFormat="false" ht="13.5" hidden="false" customHeight="true" outlineLevel="0" collapsed="false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customFormat="false" ht="13.5" hidden="false" customHeight="true" outlineLevel="0" collapsed="false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customFormat="false" ht="13.5" hidden="false" customHeight="true" outlineLevel="0" collapsed="false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customFormat="false" ht="13.5" hidden="false" customHeight="true" outlineLevel="0" collapsed="false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customFormat="false" ht="13.5" hidden="false" customHeight="true" outlineLevel="0" collapsed="false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customFormat="false" ht="13.5" hidden="false" customHeight="true" outlineLevel="0" collapsed="false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customFormat="false" ht="13.5" hidden="false" customHeight="true" outlineLevel="0" collapsed="false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customFormat="false" ht="13.5" hidden="false" customHeight="true" outlineLevel="0" collapsed="false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customFormat="false" ht="13.5" hidden="false" customHeight="true" outlineLevel="0" collapsed="false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customFormat="false" ht="13.5" hidden="false" customHeight="true" outlineLevel="0" collapsed="false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customFormat="false" ht="13.5" hidden="false" customHeight="true" outlineLevel="0" collapsed="false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customFormat="false" ht="13.5" hidden="false" customHeight="true" outlineLevel="0" collapsed="false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customFormat="false" ht="13.5" hidden="false" customHeight="true" outlineLevel="0" collapsed="false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customFormat="false" ht="13.5" hidden="false" customHeight="true" outlineLevel="0" collapsed="false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customFormat="false" ht="13.5" hidden="false" customHeight="true" outlineLevel="0" collapsed="false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customFormat="false" ht="13.5" hidden="false" customHeight="true" outlineLevel="0" collapsed="false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customFormat="false" ht="13.5" hidden="false" customHeight="true" outlineLevel="0" collapsed="false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customFormat="false" ht="13.5" hidden="false" customHeight="true" outlineLevel="0" collapsed="false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customFormat="false" ht="13.5" hidden="false" customHeight="true" outlineLevel="0" collapsed="false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customFormat="false" ht="13.5" hidden="false" customHeight="true" outlineLevel="0" collapsed="false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customFormat="false" ht="13.5" hidden="false" customHeight="true" outlineLevel="0" collapsed="false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customFormat="false" ht="13.5" hidden="false" customHeight="true" outlineLevel="0" collapsed="false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customFormat="false" ht="13.5" hidden="false" customHeight="true" outlineLevel="0" collapsed="false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customFormat="false" ht="13.5" hidden="false" customHeight="true" outlineLevel="0" collapsed="false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customFormat="false" ht="13.5" hidden="false" customHeight="true" outlineLevel="0" collapsed="false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customFormat="false" ht="13.5" hidden="false" customHeight="true" outlineLevel="0" collapsed="false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customFormat="false" ht="13.5" hidden="false" customHeight="true" outlineLevel="0" collapsed="false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customFormat="false" ht="13.5" hidden="false" customHeight="true" outlineLevel="0" collapsed="false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customFormat="false" ht="13.5" hidden="false" customHeight="true" outlineLevel="0" collapsed="false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customFormat="false" ht="13.5" hidden="false" customHeight="true" outlineLevel="0" collapsed="false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customFormat="false" ht="13.5" hidden="false" customHeight="true" outlineLevel="0" collapsed="false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customFormat="false" ht="13.5" hidden="false" customHeight="true" outlineLevel="0" collapsed="false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customFormat="false" ht="13.5" hidden="false" customHeight="true" outlineLevel="0" collapsed="false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customFormat="false" ht="13.5" hidden="false" customHeight="true" outlineLevel="0" collapsed="false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customFormat="false" ht="13.5" hidden="false" customHeight="true" outlineLevel="0" collapsed="false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customFormat="false" ht="13.5" hidden="false" customHeight="true" outlineLevel="0" collapsed="false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customFormat="false" ht="13.5" hidden="false" customHeight="true" outlineLevel="0" collapsed="false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customFormat="false" ht="13.5" hidden="false" customHeight="true" outlineLevel="0" collapsed="false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customFormat="false" ht="13.5" hidden="false" customHeight="true" outlineLevel="0" collapsed="false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customFormat="false" ht="13.5" hidden="false" customHeight="true" outlineLevel="0" collapsed="false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customFormat="false" ht="13.5" hidden="false" customHeight="true" outlineLevel="0" collapsed="false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customFormat="false" ht="13.5" hidden="false" customHeight="true" outlineLevel="0" collapsed="false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customFormat="false" ht="13.5" hidden="false" customHeight="true" outlineLevel="0" collapsed="false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customFormat="false" ht="13.5" hidden="false" customHeight="true" outlineLevel="0" collapsed="false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customFormat="false" ht="13.5" hidden="false" customHeight="true" outlineLevel="0" collapsed="false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customFormat="false" ht="13.5" hidden="false" customHeight="true" outlineLevel="0" collapsed="false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customFormat="false" ht="13.5" hidden="false" customHeight="true" outlineLevel="0" collapsed="false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customFormat="false" ht="13.5" hidden="false" customHeight="true" outlineLevel="0" collapsed="false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customFormat="false" ht="13.5" hidden="false" customHeight="true" outlineLevel="0" collapsed="false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customFormat="false" ht="13.5" hidden="false" customHeight="true" outlineLevel="0" collapsed="false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customFormat="false" ht="13.5" hidden="false" customHeight="true" outlineLevel="0" collapsed="false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customFormat="false" ht="13.5" hidden="false" customHeight="true" outlineLevel="0" collapsed="false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customFormat="false" ht="13.5" hidden="false" customHeight="true" outlineLevel="0" collapsed="false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customFormat="false" ht="13.5" hidden="false" customHeight="true" outlineLevel="0" collapsed="false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customFormat="false" ht="13.5" hidden="false" customHeight="true" outlineLevel="0" collapsed="false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customFormat="false" ht="13.5" hidden="false" customHeight="true" outlineLevel="0" collapsed="false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customFormat="false" ht="13.5" hidden="false" customHeight="true" outlineLevel="0" collapsed="false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customFormat="false" ht="13.5" hidden="false" customHeight="true" outlineLevel="0" collapsed="false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customFormat="false" ht="13.5" hidden="false" customHeight="true" outlineLevel="0" collapsed="false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customFormat="false" ht="13.5" hidden="false" customHeight="true" outlineLevel="0" collapsed="false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customFormat="false" ht="13.5" hidden="false" customHeight="true" outlineLevel="0" collapsed="false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customFormat="false" ht="13.5" hidden="false" customHeight="true" outlineLevel="0" collapsed="false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customFormat="false" ht="13.5" hidden="false" customHeight="true" outlineLevel="0" collapsed="false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customFormat="false" ht="13.5" hidden="false" customHeight="true" outlineLevel="0" collapsed="false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customFormat="false" ht="13.5" hidden="false" customHeight="true" outlineLevel="0" collapsed="false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customFormat="false" ht="13.5" hidden="false" customHeight="true" outlineLevel="0" collapsed="false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customFormat="false" ht="13.5" hidden="false" customHeight="true" outlineLevel="0" collapsed="false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customFormat="false" ht="13.5" hidden="false" customHeight="true" outlineLevel="0" collapsed="false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customFormat="false" ht="13.5" hidden="false" customHeight="true" outlineLevel="0" collapsed="false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customFormat="false" ht="13.5" hidden="false" customHeight="true" outlineLevel="0" collapsed="false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customFormat="false" ht="13.5" hidden="false" customHeight="true" outlineLevel="0" collapsed="false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customFormat="false" ht="13.5" hidden="false" customHeight="true" outlineLevel="0" collapsed="false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customFormat="false" ht="13.5" hidden="false" customHeight="true" outlineLevel="0" collapsed="false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customFormat="false" ht="13.5" hidden="false" customHeight="true" outlineLevel="0" collapsed="false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customFormat="false" ht="13.5" hidden="false" customHeight="true" outlineLevel="0" collapsed="false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customFormat="false" ht="13.5" hidden="false" customHeight="true" outlineLevel="0" collapsed="false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customFormat="false" ht="13.5" hidden="false" customHeight="true" outlineLevel="0" collapsed="false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customFormat="false" ht="13.5" hidden="false" customHeight="true" outlineLevel="0" collapsed="false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customFormat="false" ht="13.5" hidden="false" customHeight="true" outlineLevel="0" collapsed="false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customFormat="false" ht="13.5" hidden="false" customHeight="true" outlineLevel="0" collapsed="false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customFormat="false" ht="13.5" hidden="false" customHeight="true" outlineLevel="0" collapsed="false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customFormat="false" ht="13.5" hidden="false" customHeight="true" outlineLevel="0" collapsed="false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customFormat="false" ht="13.5" hidden="false" customHeight="true" outlineLevel="0" collapsed="false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customFormat="false" ht="13.5" hidden="false" customHeight="true" outlineLevel="0" collapsed="false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customFormat="false" ht="13.5" hidden="false" customHeight="true" outlineLevel="0" collapsed="false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customFormat="false" ht="13.5" hidden="false" customHeight="true" outlineLevel="0" collapsed="false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customFormat="false" ht="13.5" hidden="false" customHeight="true" outlineLevel="0" collapsed="false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customFormat="false" ht="13.5" hidden="false" customHeight="true" outlineLevel="0" collapsed="false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customFormat="false" ht="13.5" hidden="false" customHeight="true" outlineLevel="0" collapsed="false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customFormat="false" ht="13.5" hidden="false" customHeight="true" outlineLevel="0" collapsed="false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customFormat="false" ht="13.5" hidden="false" customHeight="true" outlineLevel="0" collapsed="false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customFormat="false" ht="13.5" hidden="false" customHeight="true" outlineLevel="0" collapsed="false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customFormat="false" ht="13.5" hidden="false" customHeight="true" outlineLevel="0" collapsed="false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customFormat="false" ht="13.5" hidden="false" customHeight="true" outlineLevel="0" collapsed="false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customFormat="false" ht="13.5" hidden="false" customHeight="true" outlineLevel="0" collapsed="false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customFormat="false" ht="13.5" hidden="false" customHeight="true" outlineLevel="0" collapsed="false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customFormat="false" ht="13.5" hidden="false" customHeight="true" outlineLevel="0" collapsed="false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customFormat="false" ht="13.5" hidden="false" customHeight="true" outlineLevel="0" collapsed="false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customFormat="false" ht="13.5" hidden="false" customHeight="true" outlineLevel="0" collapsed="false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customFormat="false" ht="13.5" hidden="false" customHeight="true" outlineLevel="0" collapsed="false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customFormat="false" ht="13.5" hidden="false" customHeight="true" outlineLevel="0" collapsed="false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customFormat="false" ht="13.5" hidden="false" customHeight="true" outlineLevel="0" collapsed="false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customFormat="false" ht="13.5" hidden="false" customHeight="true" outlineLevel="0" collapsed="false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customFormat="false" ht="13.5" hidden="false" customHeight="true" outlineLevel="0" collapsed="false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customFormat="false" ht="13.5" hidden="false" customHeight="true" outlineLevel="0" collapsed="false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customFormat="false" ht="13.5" hidden="false" customHeight="true" outlineLevel="0" collapsed="false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customFormat="false" ht="13.5" hidden="false" customHeight="true" outlineLevel="0" collapsed="false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customFormat="false" ht="13.5" hidden="false" customHeight="true" outlineLevel="0" collapsed="false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customFormat="false" ht="13.5" hidden="false" customHeight="true" outlineLevel="0" collapsed="false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customFormat="false" ht="13.5" hidden="false" customHeight="true" outlineLevel="0" collapsed="false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customFormat="false" ht="13.5" hidden="false" customHeight="true" outlineLevel="0" collapsed="false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customFormat="false" ht="13.5" hidden="false" customHeight="true" outlineLevel="0" collapsed="false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customFormat="false" ht="13.5" hidden="false" customHeight="true" outlineLevel="0" collapsed="false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customFormat="false" ht="13.5" hidden="false" customHeight="true" outlineLevel="0" collapsed="false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customFormat="false" ht="13.5" hidden="false" customHeight="true" outlineLevel="0" collapsed="false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customFormat="false" ht="13.5" hidden="false" customHeight="true" outlineLevel="0" collapsed="false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customFormat="false" ht="13.5" hidden="false" customHeight="true" outlineLevel="0" collapsed="false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customFormat="false" ht="13.5" hidden="false" customHeight="true" outlineLevel="0" collapsed="false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customFormat="false" ht="13.5" hidden="false" customHeight="true" outlineLevel="0" collapsed="false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customFormat="false" ht="13.5" hidden="false" customHeight="true" outlineLevel="0" collapsed="false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customFormat="false" ht="13.5" hidden="false" customHeight="true" outlineLevel="0" collapsed="false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customFormat="false" ht="13.5" hidden="false" customHeight="true" outlineLevel="0" collapsed="false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customFormat="false" ht="13.5" hidden="false" customHeight="true" outlineLevel="0" collapsed="false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customFormat="false" ht="13.5" hidden="false" customHeight="true" outlineLevel="0" collapsed="false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customFormat="false" ht="13.5" hidden="false" customHeight="true" outlineLevel="0" collapsed="false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customFormat="false" ht="13.5" hidden="false" customHeight="true" outlineLevel="0" collapsed="false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customFormat="false" ht="13.5" hidden="false" customHeight="true" outlineLevel="0" collapsed="false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customFormat="false" ht="13.5" hidden="false" customHeight="true" outlineLevel="0" collapsed="false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customFormat="false" ht="13.5" hidden="false" customHeight="true" outlineLevel="0" collapsed="false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customFormat="false" ht="13.5" hidden="false" customHeight="true" outlineLevel="0" collapsed="false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customFormat="false" ht="13.5" hidden="false" customHeight="true" outlineLevel="0" collapsed="false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customFormat="false" ht="13.5" hidden="false" customHeight="true" outlineLevel="0" collapsed="false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customFormat="false" ht="13.5" hidden="false" customHeight="true" outlineLevel="0" collapsed="false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customFormat="false" ht="13.5" hidden="false" customHeight="true" outlineLevel="0" collapsed="false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customFormat="false" ht="13.5" hidden="false" customHeight="true" outlineLevel="0" collapsed="false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customFormat="false" ht="13.5" hidden="false" customHeight="true" outlineLevel="0" collapsed="false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customFormat="false" ht="13.5" hidden="false" customHeight="true" outlineLevel="0" collapsed="false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customFormat="false" ht="13.5" hidden="false" customHeight="true" outlineLevel="0" collapsed="false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customFormat="false" ht="13.5" hidden="false" customHeight="true" outlineLevel="0" collapsed="false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customFormat="false" ht="13.5" hidden="false" customHeight="true" outlineLevel="0" collapsed="false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customFormat="false" ht="13.5" hidden="false" customHeight="true" outlineLevel="0" collapsed="false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customFormat="false" ht="13.5" hidden="false" customHeight="true" outlineLevel="0" collapsed="false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customFormat="false" ht="13.5" hidden="false" customHeight="true" outlineLevel="0" collapsed="false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customFormat="false" ht="13.5" hidden="false" customHeight="true" outlineLevel="0" collapsed="false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customFormat="false" ht="13.5" hidden="false" customHeight="true" outlineLevel="0" collapsed="false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customFormat="false" ht="13.5" hidden="false" customHeight="true" outlineLevel="0" collapsed="false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customFormat="false" ht="13.5" hidden="false" customHeight="true" outlineLevel="0" collapsed="false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customFormat="false" ht="13.5" hidden="false" customHeight="true" outlineLevel="0" collapsed="false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customFormat="false" ht="13.5" hidden="false" customHeight="true" outlineLevel="0" collapsed="false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customFormat="false" ht="13.5" hidden="false" customHeight="true" outlineLevel="0" collapsed="false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customFormat="false" ht="13.5" hidden="false" customHeight="true" outlineLevel="0" collapsed="false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customFormat="false" ht="13.5" hidden="false" customHeight="true" outlineLevel="0" collapsed="false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customFormat="false" ht="13.5" hidden="false" customHeight="true" outlineLevel="0" collapsed="false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customFormat="false" ht="13.5" hidden="false" customHeight="true" outlineLevel="0" collapsed="false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customFormat="false" ht="13.5" hidden="false" customHeight="true" outlineLevel="0" collapsed="false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customFormat="false" ht="13.5" hidden="false" customHeight="true" outlineLevel="0" collapsed="false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customFormat="false" ht="13.5" hidden="false" customHeight="true" outlineLevel="0" collapsed="false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customFormat="false" ht="13.5" hidden="false" customHeight="true" outlineLevel="0" collapsed="false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customFormat="false" ht="13.5" hidden="false" customHeight="true" outlineLevel="0" collapsed="false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customFormat="false" ht="13.5" hidden="false" customHeight="true" outlineLevel="0" collapsed="false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customFormat="false" ht="13.5" hidden="false" customHeight="true" outlineLevel="0" collapsed="false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customFormat="false" ht="13.5" hidden="false" customHeight="true" outlineLevel="0" collapsed="false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customFormat="false" ht="13.5" hidden="false" customHeight="true" outlineLevel="0" collapsed="false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customFormat="false" ht="13.5" hidden="false" customHeight="true" outlineLevel="0" collapsed="false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customFormat="false" ht="13.5" hidden="false" customHeight="true" outlineLevel="0" collapsed="false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customFormat="false" ht="13.5" hidden="false" customHeight="true" outlineLevel="0" collapsed="false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customFormat="false" ht="13.5" hidden="false" customHeight="true" outlineLevel="0" collapsed="false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customFormat="false" ht="13.5" hidden="false" customHeight="true" outlineLevel="0" collapsed="false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customFormat="false" ht="13.5" hidden="false" customHeight="true" outlineLevel="0" collapsed="false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customFormat="false" ht="13.5" hidden="false" customHeight="true" outlineLevel="0" collapsed="false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customFormat="false" ht="13.5" hidden="false" customHeight="true" outlineLevel="0" collapsed="false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customFormat="false" ht="13.5" hidden="false" customHeight="true" outlineLevel="0" collapsed="false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customFormat="false" ht="13.5" hidden="false" customHeight="true" outlineLevel="0" collapsed="false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customFormat="false" ht="13.5" hidden="false" customHeight="true" outlineLevel="0" collapsed="false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customFormat="false" ht="13.5" hidden="false" customHeight="true" outlineLevel="0" collapsed="false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customFormat="false" ht="13.5" hidden="false" customHeight="true" outlineLevel="0" collapsed="false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customFormat="false" ht="13.5" hidden="false" customHeight="true" outlineLevel="0" collapsed="false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customFormat="false" ht="13.5" hidden="false" customHeight="true" outlineLevel="0" collapsed="false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customFormat="false" ht="13.5" hidden="false" customHeight="true" outlineLevel="0" collapsed="false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customFormat="false" ht="13.5" hidden="false" customHeight="true" outlineLevel="0" collapsed="false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customFormat="false" ht="13.5" hidden="false" customHeight="true" outlineLevel="0" collapsed="false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customFormat="false" ht="13.5" hidden="false" customHeight="true" outlineLevel="0" collapsed="false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customFormat="false" ht="13.5" hidden="false" customHeight="true" outlineLevel="0" collapsed="false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customFormat="false" ht="13.5" hidden="false" customHeight="true" outlineLevel="0" collapsed="false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customFormat="false" ht="13.5" hidden="false" customHeight="true" outlineLevel="0" collapsed="false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customFormat="false" ht="13.5" hidden="false" customHeight="true" outlineLevel="0" collapsed="false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customFormat="false" ht="13.5" hidden="false" customHeight="true" outlineLevel="0" collapsed="false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customFormat="false" ht="13.5" hidden="false" customHeight="true" outlineLevel="0" collapsed="false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customFormat="false" ht="13.5" hidden="false" customHeight="true" outlineLevel="0" collapsed="false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customFormat="false" ht="13.5" hidden="false" customHeight="true" outlineLevel="0" collapsed="false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customFormat="false" ht="13.5" hidden="false" customHeight="true" outlineLevel="0" collapsed="false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customFormat="false" ht="13.5" hidden="false" customHeight="true" outlineLevel="0" collapsed="false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customFormat="false" ht="13.5" hidden="false" customHeight="true" outlineLevel="0" collapsed="false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customFormat="false" ht="13.5" hidden="false" customHeight="true" outlineLevel="0" collapsed="false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customFormat="false" ht="13.5" hidden="false" customHeight="true" outlineLevel="0" collapsed="false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customFormat="false" ht="13.5" hidden="false" customHeight="true" outlineLevel="0" collapsed="false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customFormat="false" ht="13.5" hidden="false" customHeight="true" outlineLevel="0" collapsed="false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customFormat="false" ht="13.5" hidden="false" customHeight="true" outlineLevel="0" collapsed="false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customFormat="false" ht="13.5" hidden="false" customHeight="true" outlineLevel="0" collapsed="false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customFormat="false" ht="13.5" hidden="false" customHeight="true" outlineLevel="0" collapsed="false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customFormat="false" ht="13.5" hidden="false" customHeight="true" outlineLevel="0" collapsed="false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customFormat="false" ht="13.5" hidden="false" customHeight="true" outlineLevel="0" collapsed="false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customFormat="false" ht="13.5" hidden="false" customHeight="true" outlineLevel="0" collapsed="false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customFormat="false" ht="13.5" hidden="false" customHeight="true" outlineLevel="0" collapsed="false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customFormat="false" ht="13.5" hidden="false" customHeight="true" outlineLevel="0" collapsed="false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customFormat="false" ht="13.5" hidden="false" customHeight="true" outlineLevel="0" collapsed="false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customFormat="false" ht="13.5" hidden="false" customHeight="true" outlineLevel="0" collapsed="false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customFormat="false" ht="13.5" hidden="false" customHeight="true" outlineLevel="0" collapsed="false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customFormat="false" ht="13.5" hidden="false" customHeight="true" outlineLevel="0" collapsed="false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customFormat="false" ht="13.5" hidden="false" customHeight="true" outlineLevel="0" collapsed="false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customFormat="false" ht="13.5" hidden="false" customHeight="true" outlineLevel="0" collapsed="false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customFormat="false" ht="13.5" hidden="false" customHeight="true" outlineLevel="0" collapsed="false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customFormat="false" ht="13.5" hidden="false" customHeight="true" outlineLevel="0" collapsed="false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customFormat="false" ht="13.5" hidden="false" customHeight="true" outlineLevel="0" collapsed="false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customFormat="false" ht="13.5" hidden="false" customHeight="true" outlineLevel="0" collapsed="false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customFormat="false" ht="13.5" hidden="false" customHeight="true" outlineLevel="0" collapsed="false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customFormat="false" ht="13.5" hidden="false" customHeight="true" outlineLevel="0" collapsed="false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customFormat="false" ht="13.5" hidden="false" customHeight="true" outlineLevel="0" collapsed="false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customFormat="false" ht="13.5" hidden="false" customHeight="true" outlineLevel="0" collapsed="false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customFormat="false" ht="13.5" hidden="false" customHeight="true" outlineLevel="0" collapsed="false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customFormat="false" ht="13.5" hidden="false" customHeight="true" outlineLevel="0" collapsed="false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customFormat="false" ht="13.5" hidden="false" customHeight="true" outlineLevel="0" collapsed="false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customFormat="false" ht="13.5" hidden="false" customHeight="true" outlineLevel="0" collapsed="false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customFormat="false" ht="13.5" hidden="false" customHeight="true" outlineLevel="0" collapsed="false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customFormat="false" ht="13.5" hidden="false" customHeight="true" outlineLevel="0" collapsed="false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customFormat="false" ht="13.5" hidden="false" customHeight="true" outlineLevel="0" collapsed="false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customFormat="false" ht="13.5" hidden="false" customHeight="true" outlineLevel="0" collapsed="false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customFormat="false" ht="13.5" hidden="false" customHeight="true" outlineLevel="0" collapsed="false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customFormat="false" ht="13.5" hidden="false" customHeight="true" outlineLevel="0" collapsed="false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customFormat="false" ht="13.5" hidden="false" customHeight="true" outlineLevel="0" collapsed="false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customFormat="false" ht="13.5" hidden="false" customHeight="true" outlineLevel="0" collapsed="false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customFormat="false" ht="13.5" hidden="false" customHeight="true" outlineLevel="0" collapsed="false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customFormat="false" ht="13.5" hidden="false" customHeight="true" outlineLevel="0" collapsed="false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customFormat="false" ht="13.5" hidden="false" customHeight="true" outlineLevel="0" collapsed="false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customFormat="false" ht="13.5" hidden="false" customHeight="true" outlineLevel="0" collapsed="false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customFormat="false" ht="13.5" hidden="false" customHeight="true" outlineLevel="0" collapsed="false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customFormat="false" ht="13.5" hidden="false" customHeight="true" outlineLevel="0" collapsed="false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customFormat="false" ht="13.5" hidden="false" customHeight="true" outlineLevel="0" collapsed="false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customFormat="false" ht="13.5" hidden="false" customHeight="true" outlineLevel="0" collapsed="false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customFormat="false" ht="13.5" hidden="false" customHeight="true" outlineLevel="0" collapsed="false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customFormat="false" ht="13.5" hidden="false" customHeight="true" outlineLevel="0" collapsed="false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customFormat="false" ht="13.5" hidden="false" customHeight="true" outlineLevel="0" collapsed="false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customFormat="false" ht="13.5" hidden="false" customHeight="true" outlineLevel="0" collapsed="false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customFormat="false" ht="13.5" hidden="false" customHeight="true" outlineLevel="0" collapsed="false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customFormat="false" ht="13.5" hidden="false" customHeight="true" outlineLevel="0" collapsed="false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customFormat="false" ht="13.5" hidden="false" customHeight="true" outlineLevel="0" collapsed="false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customFormat="false" ht="13.5" hidden="false" customHeight="true" outlineLevel="0" collapsed="false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customFormat="false" ht="13.5" hidden="false" customHeight="true" outlineLevel="0" collapsed="false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customFormat="false" ht="13.5" hidden="false" customHeight="true" outlineLevel="0" collapsed="false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customFormat="false" ht="13.5" hidden="false" customHeight="true" outlineLevel="0" collapsed="false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customFormat="false" ht="13.5" hidden="false" customHeight="true" outlineLevel="0" collapsed="false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customFormat="false" ht="13.5" hidden="false" customHeight="true" outlineLevel="0" collapsed="false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customFormat="false" ht="13.5" hidden="false" customHeight="true" outlineLevel="0" collapsed="false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customFormat="false" ht="13.5" hidden="false" customHeight="true" outlineLevel="0" collapsed="false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customFormat="false" ht="13.5" hidden="false" customHeight="true" outlineLevel="0" collapsed="false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customFormat="false" ht="13.5" hidden="false" customHeight="true" outlineLevel="0" collapsed="false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customFormat="false" ht="13.5" hidden="false" customHeight="true" outlineLevel="0" collapsed="false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customFormat="false" ht="13.5" hidden="false" customHeight="true" outlineLevel="0" collapsed="false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customFormat="false" ht="13.5" hidden="false" customHeight="true" outlineLevel="0" collapsed="false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customFormat="false" ht="13.5" hidden="false" customHeight="true" outlineLevel="0" collapsed="false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customFormat="false" ht="13.5" hidden="false" customHeight="true" outlineLevel="0" collapsed="false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customFormat="false" ht="13.5" hidden="false" customHeight="true" outlineLevel="0" collapsed="false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customFormat="false" ht="13.5" hidden="false" customHeight="true" outlineLevel="0" collapsed="false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customFormat="false" ht="13.5" hidden="false" customHeight="true" outlineLevel="0" collapsed="false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customFormat="false" ht="13.5" hidden="false" customHeight="true" outlineLevel="0" collapsed="false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customFormat="false" ht="13.5" hidden="false" customHeight="true" outlineLevel="0" collapsed="false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customFormat="false" ht="13.5" hidden="false" customHeight="true" outlineLevel="0" collapsed="false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customFormat="false" ht="13.5" hidden="false" customHeight="true" outlineLevel="0" collapsed="false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customFormat="false" ht="13.5" hidden="false" customHeight="true" outlineLevel="0" collapsed="false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customFormat="false" ht="13.5" hidden="false" customHeight="true" outlineLevel="0" collapsed="false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customFormat="false" ht="13.5" hidden="false" customHeight="true" outlineLevel="0" collapsed="false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customFormat="false" ht="13.5" hidden="false" customHeight="true" outlineLevel="0" collapsed="false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customFormat="false" ht="13.5" hidden="false" customHeight="true" outlineLevel="0" collapsed="false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customFormat="false" ht="13.5" hidden="false" customHeight="true" outlineLevel="0" collapsed="false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customFormat="false" ht="13.5" hidden="false" customHeight="true" outlineLevel="0" collapsed="false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customFormat="false" ht="13.5" hidden="false" customHeight="true" outlineLevel="0" collapsed="false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customFormat="false" ht="13.5" hidden="false" customHeight="true" outlineLevel="0" collapsed="false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customFormat="false" ht="13.5" hidden="false" customHeight="true" outlineLevel="0" collapsed="false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customFormat="false" ht="13.5" hidden="false" customHeight="true" outlineLevel="0" collapsed="false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customFormat="false" ht="13.5" hidden="false" customHeight="true" outlineLevel="0" collapsed="false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customFormat="false" ht="13.5" hidden="false" customHeight="true" outlineLevel="0" collapsed="false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customFormat="false" ht="13.5" hidden="false" customHeight="true" outlineLevel="0" collapsed="false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customFormat="false" ht="13.5" hidden="false" customHeight="true" outlineLevel="0" collapsed="false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customFormat="false" ht="13.5" hidden="false" customHeight="true" outlineLevel="0" collapsed="false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customFormat="false" ht="13.5" hidden="false" customHeight="true" outlineLevel="0" collapsed="false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customFormat="false" ht="13.5" hidden="false" customHeight="true" outlineLevel="0" collapsed="false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customFormat="false" ht="13.5" hidden="false" customHeight="true" outlineLevel="0" collapsed="false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customFormat="false" ht="13.5" hidden="false" customHeight="true" outlineLevel="0" collapsed="false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customFormat="false" ht="13.5" hidden="false" customHeight="true" outlineLevel="0" collapsed="false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customFormat="false" ht="13.5" hidden="false" customHeight="true" outlineLevel="0" collapsed="false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customFormat="false" ht="13.5" hidden="false" customHeight="true" outlineLevel="0" collapsed="false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customFormat="false" ht="13.5" hidden="false" customHeight="true" outlineLevel="0" collapsed="false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customFormat="false" ht="13.5" hidden="false" customHeight="true" outlineLevel="0" collapsed="false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customFormat="false" ht="13.5" hidden="false" customHeight="true" outlineLevel="0" collapsed="false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customFormat="false" ht="13.5" hidden="false" customHeight="true" outlineLevel="0" collapsed="false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customFormat="false" ht="13.5" hidden="false" customHeight="true" outlineLevel="0" collapsed="false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customFormat="false" ht="13.5" hidden="false" customHeight="true" outlineLevel="0" collapsed="false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customFormat="false" ht="13.5" hidden="false" customHeight="true" outlineLevel="0" collapsed="false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customFormat="false" ht="13.5" hidden="false" customHeight="true" outlineLevel="0" collapsed="false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customFormat="false" ht="13.5" hidden="false" customHeight="true" outlineLevel="0" collapsed="false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customFormat="false" ht="13.5" hidden="false" customHeight="true" outlineLevel="0" collapsed="false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customFormat="false" ht="13.5" hidden="false" customHeight="true" outlineLevel="0" collapsed="false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customFormat="false" ht="13.5" hidden="false" customHeight="true" outlineLevel="0" collapsed="false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customFormat="false" ht="13.5" hidden="false" customHeight="true" outlineLevel="0" collapsed="false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customFormat="false" ht="13.5" hidden="false" customHeight="true" outlineLevel="0" collapsed="false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customFormat="false" ht="13.5" hidden="false" customHeight="true" outlineLevel="0" collapsed="false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customFormat="false" ht="13.5" hidden="false" customHeight="true" outlineLevel="0" collapsed="false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customFormat="false" ht="13.5" hidden="false" customHeight="true" outlineLevel="0" collapsed="false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customFormat="false" ht="13.5" hidden="false" customHeight="true" outlineLevel="0" collapsed="false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customFormat="false" ht="13.5" hidden="false" customHeight="true" outlineLevel="0" collapsed="false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customFormat="false" ht="13.5" hidden="false" customHeight="true" outlineLevel="0" collapsed="false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customFormat="false" ht="13.5" hidden="false" customHeight="true" outlineLevel="0" collapsed="false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customFormat="false" ht="13.5" hidden="false" customHeight="true" outlineLevel="0" collapsed="false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customFormat="false" ht="13.5" hidden="false" customHeight="true" outlineLevel="0" collapsed="false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customFormat="false" ht="13.5" hidden="false" customHeight="true" outlineLevel="0" collapsed="false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customFormat="false" ht="13.5" hidden="false" customHeight="true" outlineLevel="0" collapsed="false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customFormat="false" ht="13.5" hidden="false" customHeight="true" outlineLevel="0" collapsed="false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customFormat="false" ht="13.5" hidden="false" customHeight="true" outlineLevel="0" collapsed="false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customFormat="false" ht="13.5" hidden="false" customHeight="true" outlineLevel="0" collapsed="false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customFormat="false" ht="13.5" hidden="false" customHeight="true" outlineLevel="0" collapsed="false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customFormat="false" ht="13.5" hidden="false" customHeight="true" outlineLevel="0" collapsed="false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customFormat="false" ht="13.5" hidden="false" customHeight="true" outlineLevel="0" collapsed="false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customFormat="false" ht="13.5" hidden="false" customHeight="true" outlineLevel="0" collapsed="false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customFormat="false" ht="13.5" hidden="false" customHeight="true" outlineLevel="0" collapsed="false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customFormat="false" ht="13.5" hidden="false" customHeight="true" outlineLevel="0" collapsed="false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customFormat="false" ht="13.5" hidden="false" customHeight="true" outlineLevel="0" collapsed="false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customFormat="false" ht="13.5" hidden="false" customHeight="true" outlineLevel="0" collapsed="false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customFormat="false" ht="13.5" hidden="false" customHeight="true" outlineLevel="0" collapsed="false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customFormat="false" ht="13.5" hidden="false" customHeight="true" outlineLevel="0" collapsed="false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customFormat="false" ht="13.5" hidden="false" customHeight="true" outlineLevel="0" collapsed="false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customFormat="false" ht="13.5" hidden="false" customHeight="true" outlineLevel="0" collapsed="false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customFormat="false" ht="13.5" hidden="false" customHeight="true" outlineLevel="0" collapsed="false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customFormat="false" ht="13.5" hidden="false" customHeight="true" outlineLevel="0" collapsed="false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customFormat="false" ht="13.5" hidden="false" customHeight="true" outlineLevel="0" collapsed="false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customFormat="false" ht="13.5" hidden="false" customHeight="true" outlineLevel="0" collapsed="false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customFormat="false" ht="13.5" hidden="false" customHeight="true" outlineLevel="0" collapsed="false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customFormat="false" ht="13.5" hidden="false" customHeight="true" outlineLevel="0" collapsed="false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customFormat="false" ht="13.5" hidden="false" customHeight="true" outlineLevel="0" collapsed="false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customFormat="false" ht="13.5" hidden="false" customHeight="true" outlineLevel="0" collapsed="false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customFormat="false" ht="13.5" hidden="false" customHeight="true" outlineLevel="0" collapsed="false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customFormat="false" ht="13.5" hidden="false" customHeight="true" outlineLevel="0" collapsed="false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customFormat="false" ht="13.5" hidden="false" customHeight="true" outlineLevel="0" collapsed="false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customFormat="false" ht="13.5" hidden="false" customHeight="true" outlineLevel="0" collapsed="false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customFormat="false" ht="13.5" hidden="false" customHeight="true" outlineLevel="0" collapsed="false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customFormat="false" ht="13.5" hidden="false" customHeight="true" outlineLevel="0" collapsed="false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customFormat="false" ht="13.5" hidden="false" customHeight="true" outlineLevel="0" collapsed="false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customFormat="false" ht="13.5" hidden="false" customHeight="true" outlineLevel="0" collapsed="false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customFormat="false" ht="13.5" hidden="false" customHeight="true" outlineLevel="0" collapsed="false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customFormat="false" ht="13.5" hidden="false" customHeight="true" outlineLevel="0" collapsed="false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customFormat="false" ht="13.5" hidden="false" customHeight="true" outlineLevel="0" collapsed="false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customFormat="false" ht="13.5" hidden="false" customHeight="true" outlineLevel="0" collapsed="false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customFormat="false" ht="13.5" hidden="false" customHeight="true" outlineLevel="0" collapsed="false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customFormat="false" ht="13.5" hidden="false" customHeight="true" outlineLevel="0" collapsed="false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customFormat="false" ht="13.5" hidden="false" customHeight="true" outlineLevel="0" collapsed="false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customFormat="false" ht="13.5" hidden="false" customHeight="true" outlineLevel="0" collapsed="false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customFormat="false" ht="13.5" hidden="false" customHeight="true" outlineLevel="0" collapsed="false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customFormat="false" ht="13.5" hidden="false" customHeight="true" outlineLevel="0" collapsed="false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customFormat="false" ht="13.5" hidden="false" customHeight="true" outlineLevel="0" collapsed="false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customFormat="false" ht="13.5" hidden="false" customHeight="true" outlineLevel="0" collapsed="false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customFormat="false" ht="13.5" hidden="false" customHeight="true" outlineLevel="0" collapsed="false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customFormat="false" ht="13.5" hidden="false" customHeight="true" outlineLevel="0" collapsed="false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customFormat="false" ht="13.5" hidden="false" customHeight="true" outlineLevel="0" collapsed="false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customFormat="false" ht="13.5" hidden="false" customHeight="true" outlineLevel="0" collapsed="false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customFormat="false" ht="13.5" hidden="false" customHeight="true" outlineLevel="0" collapsed="false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customFormat="false" ht="13.5" hidden="false" customHeight="true" outlineLevel="0" collapsed="false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customFormat="false" ht="13.5" hidden="false" customHeight="true" outlineLevel="0" collapsed="false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customFormat="false" ht="13.5" hidden="false" customHeight="true" outlineLevel="0" collapsed="false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customFormat="false" ht="13.5" hidden="false" customHeight="true" outlineLevel="0" collapsed="false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customFormat="false" ht="13.5" hidden="false" customHeight="true" outlineLevel="0" collapsed="false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customFormat="false" ht="13.5" hidden="false" customHeight="true" outlineLevel="0" collapsed="false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customFormat="false" ht="13.5" hidden="false" customHeight="true" outlineLevel="0" collapsed="false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customFormat="false" ht="13.5" hidden="false" customHeight="true" outlineLevel="0" collapsed="false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customFormat="false" ht="13.5" hidden="false" customHeight="true" outlineLevel="0" collapsed="false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customFormat="false" ht="13.5" hidden="false" customHeight="true" outlineLevel="0" collapsed="false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customFormat="false" ht="13.5" hidden="false" customHeight="true" outlineLevel="0" collapsed="false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customFormat="false" ht="13.5" hidden="false" customHeight="true" outlineLevel="0" collapsed="false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customFormat="false" ht="13.5" hidden="false" customHeight="true" outlineLevel="0" collapsed="false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customFormat="false" ht="13.5" hidden="false" customHeight="true" outlineLevel="0" collapsed="false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customFormat="false" ht="13.5" hidden="false" customHeight="true" outlineLevel="0" collapsed="false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customFormat="false" ht="13.5" hidden="false" customHeight="true" outlineLevel="0" collapsed="false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customFormat="false" ht="13.5" hidden="false" customHeight="true" outlineLevel="0" collapsed="false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customFormat="false" ht="13.5" hidden="false" customHeight="true" outlineLevel="0" collapsed="false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customFormat="false" ht="13.5" hidden="false" customHeight="true" outlineLevel="0" collapsed="false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customFormat="false" ht="13.5" hidden="false" customHeight="true" outlineLevel="0" collapsed="false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customFormat="false" ht="13.5" hidden="false" customHeight="true" outlineLevel="0" collapsed="false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customFormat="false" ht="13.5" hidden="false" customHeight="true" outlineLevel="0" collapsed="false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customFormat="false" ht="13.5" hidden="false" customHeight="true" outlineLevel="0" collapsed="false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customFormat="false" ht="13.5" hidden="false" customHeight="true" outlineLevel="0" collapsed="false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customFormat="false" ht="13.5" hidden="false" customHeight="true" outlineLevel="0" collapsed="false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customFormat="false" ht="13.5" hidden="false" customHeight="true" outlineLevel="0" collapsed="false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customFormat="false" ht="13.5" hidden="false" customHeight="true" outlineLevel="0" collapsed="false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customFormat="false" ht="13.5" hidden="false" customHeight="true" outlineLevel="0" collapsed="false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customFormat="false" ht="13.5" hidden="false" customHeight="true" outlineLevel="0" collapsed="false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customFormat="false" ht="13.5" hidden="false" customHeight="true" outlineLevel="0" collapsed="false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customFormat="false" ht="13.5" hidden="false" customHeight="true" outlineLevel="0" collapsed="false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customFormat="false" ht="13.5" hidden="false" customHeight="true" outlineLevel="0" collapsed="false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customFormat="false" ht="13.5" hidden="false" customHeight="true" outlineLevel="0" collapsed="false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customFormat="false" ht="13.5" hidden="false" customHeight="true" outlineLevel="0" collapsed="false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customFormat="false" ht="13.5" hidden="false" customHeight="true" outlineLevel="0" collapsed="false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customFormat="false" ht="13.5" hidden="false" customHeight="true" outlineLevel="0" collapsed="false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customFormat="false" ht="13.5" hidden="false" customHeight="true" outlineLevel="0" collapsed="false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customFormat="false" ht="13.5" hidden="false" customHeight="true" outlineLevel="0" collapsed="false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customFormat="false" ht="13.5" hidden="false" customHeight="true" outlineLevel="0" collapsed="false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customFormat="false" ht="13.5" hidden="false" customHeight="true" outlineLevel="0" collapsed="false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customFormat="false" ht="13.5" hidden="false" customHeight="true" outlineLevel="0" collapsed="false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customFormat="false" ht="13.5" hidden="false" customHeight="true" outlineLevel="0" collapsed="false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customFormat="false" ht="13.5" hidden="false" customHeight="true" outlineLevel="0" collapsed="false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customFormat="false" ht="13.5" hidden="false" customHeight="true" outlineLevel="0" collapsed="false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customFormat="false" ht="13.5" hidden="false" customHeight="true" outlineLevel="0" collapsed="false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customFormat="false" ht="13.5" hidden="false" customHeight="true" outlineLevel="0" collapsed="false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customFormat="false" ht="13.5" hidden="false" customHeight="true" outlineLevel="0" collapsed="false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customFormat="false" ht="13.5" hidden="false" customHeight="true" outlineLevel="0" collapsed="false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customFormat="false" ht="13.5" hidden="false" customHeight="true" outlineLevel="0" collapsed="false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customFormat="false" ht="13.5" hidden="false" customHeight="true" outlineLevel="0" collapsed="false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customFormat="false" ht="13.5" hidden="false" customHeight="true" outlineLevel="0" collapsed="false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customFormat="false" ht="13.5" hidden="false" customHeight="true" outlineLevel="0" collapsed="false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customFormat="false" ht="13.5" hidden="false" customHeight="true" outlineLevel="0" collapsed="false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customFormat="false" ht="13.5" hidden="false" customHeight="true" outlineLevel="0" collapsed="false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customFormat="false" ht="13.5" hidden="false" customHeight="true" outlineLevel="0" collapsed="false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customFormat="false" ht="13.5" hidden="false" customHeight="true" outlineLevel="0" collapsed="false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customFormat="false" ht="13.5" hidden="false" customHeight="true" outlineLevel="0" collapsed="false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customFormat="false" ht="13.5" hidden="false" customHeight="true" outlineLevel="0" collapsed="false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customFormat="false" ht="13.5" hidden="false" customHeight="true" outlineLevel="0" collapsed="false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customFormat="false" ht="13.5" hidden="false" customHeight="true" outlineLevel="0" collapsed="false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customFormat="false" ht="13.5" hidden="false" customHeight="true" outlineLevel="0" collapsed="false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customFormat="false" ht="13.5" hidden="false" customHeight="true" outlineLevel="0" collapsed="false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customFormat="false" ht="13.5" hidden="false" customHeight="true" outlineLevel="0" collapsed="false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customFormat="false" ht="13.5" hidden="false" customHeight="true" outlineLevel="0" collapsed="false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customFormat="false" ht="13.5" hidden="false" customHeight="true" outlineLevel="0" collapsed="false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customFormat="false" ht="13.5" hidden="false" customHeight="true" outlineLevel="0" collapsed="false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customFormat="false" ht="13.5" hidden="false" customHeight="true" outlineLevel="0" collapsed="false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customFormat="false" ht="13.5" hidden="false" customHeight="true" outlineLevel="0" collapsed="false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customFormat="false" ht="13.5" hidden="false" customHeight="true" outlineLevel="0" collapsed="false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customFormat="false" ht="13.5" hidden="false" customHeight="true" outlineLevel="0" collapsed="false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customFormat="false" ht="13.5" hidden="false" customHeight="true" outlineLevel="0" collapsed="false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customFormat="false" ht="13.5" hidden="false" customHeight="true" outlineLevel="0" collapsed="false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customFormat="false" ht="13.5" hidden="false" customHeight="true" outlineLevel="0" collapsed="false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customFormat="false" ht="13.5" hidden="false" customHeight="true" outlineLevel="0" collapsed="false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customFormat="false" ht="13.5" hidden="false" customHeight="true" outlineLevel="0" collapsed="false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customFormat="false" ht="13.5" hidden="false" customHeight="true" outlineLevel="0" collapsed="false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customFormat="false" ht="13.5" hidden="false" customHeight="true" outlineLevel="0" collapsed="false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customFormat="false" ht="13.5" hidden="false" customHeight="true" outlineLevel="0" collapsed="false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customFormat="false" ht="13.5" hidden="false" customHeight="true" outlineLevel="0" collapsed="false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customFormat="false" ht="13.5" hidden="false" customHeight="true" outlineLevel="0" collapsed="false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customFormat="false" ht="13.5" hidden="false" customHeight="true" outlineLevel="0" collapsed="false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customFormat="false" ht="13.5" hidden="false" customHeight="true" outlineLevel="0" collapsed="false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customFormat="false" ht="13.5" hidden="false" customHeight="true" outlineLevel="0" collapsed="false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customFormat="false" ht="13.5" hidden="false" customHeight="true" outlineLevel="0" collapsed="false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customFormat="false" ht="13.5" hidden="false" customHeight="true" outlineLevel="0" collapsed="false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customFormat="false" ht="13.5" hidden="false" customHeight="true" outlineLevel="0" collapsed="false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customFormat="false" ht="13.5" hidden="false" customHeight="true" outlineLevel="0" collapsed="false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customFormat="false" ht="13.5" hidden="false" customHeight="true" outlineLevel="0" collapsed="false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customFormat="false" ht="13.5" hidden="false" customHeight="true" outlineLevel="0" collapsed="false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customFormat="false" ht="13.5" hidden="false" customHeight="true" outlineLevel="0" collapsed="false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customFormat="false" ht="13.5" hidden="false" customHeight="true" outlineLevel="0" collapsed="false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customFormat="false" ht="13.5" hidden="false" customHeight="true" outlineLevel="0" collapsed="false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customFormat="false" ht="13.5" hidden="false" customHeight="true" outlineLevel="0" collapsed="false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customFormat="false" ht="13.5" hidden="false" customHeight="true" outlineLevel="0" collapsed="false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customFormat="false" ht="13.5" hidden="false" customHeight="true" outlineLevel="0" collapsed="false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customFormat="false" ht="13.5" hidden="false" customHeight="true" outlineLevel="0" collapsed="false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customFormat="false" ht="13.5" hidden="false" customHeight="true" outlineLevel="0" collapsed="false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customFormat="false" ht="13.5" hidden="false" customHeight="true" outlineLevel="0" collapsed="false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customFormat="false" ht="13.5" hidden="false" customHeight="true" outlineLevel="0" collapsed="false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customFormat="false" ht="13.5" hidden="false" customHeight="true" outlineLevel="0" collapsed="false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customFormat="false" ht="13.5" hidden="false" customHeight="true" outlineLevel="0" collapsed="false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customFormat="false" ht="13.5" hidden="false" customHeight="true" outlineLevel="0" collapsed="false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customFormat="false" ht="13.5" hidden="false" customHeight="true" outlineLevel="0" collapsed="false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customFormat="false" ht="13.5" hidden="false" customHeight="true" outlineLevel="0" collapsed="false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customFormat="false" ht="13.5" hidden="false" customHeight="true" outlineLevel="0" collapsed="false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customFormat="false" ht="13.5" hidden="false" customHeight="true" outlineLevel="0" collapsed="false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customFormat="false" ht="13.5" hidden="false" customHeight="true" outlineLevel="0" collapsed="false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customFormat="false" ht="13.5" hidden="false" customHeight="true" outlineLevel="0" collapsed="false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customFormat="false" ht="13.5" hidden="false" customHeight="true" outlineLevel="0" collapsed="false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customFormat="false" ht="13.5" hidden="false" customHeight="true" outlineLevel="0" collapsed="false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customFormat="false" ht="13.5" hidden="false" customHeight="true" outlineLevel="0" collapsed="false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customFormat="false" ht="13.5" hidden="false" customHeight="true" outlineLevel="0" collapsed="false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customFormat="false" ht="13.5" hidden="false" customHeight="true" outlineLevel="0" collapsed="false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customFormat="false" ht="13.5" hidden="false" customHeight="true" outlineLevel="0" collapsed="false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customFormat="false" ht="13.5" hidden="false" customHeight="true" outlineLevel="0" collapsed="false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customFormat="false" ht="13.5" hidden="false" customHeight="true" outlineLevel="0" collapsed="false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customFormat="false" ht="13.5" hidden="false" customHeight="true" outlineLevel="0" collapsed="false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customFormat="false" ht="13.5" hidden="false" customHeight="true" outlineLevel="0" collapsed="false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customFormat="false" ht="13.5" hidden="false" customHeight="true" outlineLevel="0" collapsed="false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customFormat="false" ht="13.5" hidden="false" customHeight="true" outlineLevel="0" collapsed="false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customFormat="false" ht="13.5" hidden="false" customHeight="true" outlineLevel="0" collapsed="false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customFormat="false" ht="13.5" hidden="false" customHeight="true" outlineLevel="0" collapsed="false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customFormat="false" ht="13.5" hidden="false" customHeight="true" outlineLevel="0" collapsed="false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customFormat="false" ht="13.5" hidden="false" customHeight="true" outlineLevel="0" collapsed="false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customFormat="false" ht="13.5" hidden="false" customHeight="true" outlineLevel="0" collapsed="false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customFormat="false" ht="13.5" hidden="false" customHeight="true" outlineLevel="0" collapsed="false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customFormat="false" ht="13.5" hidden="false" customHeight="true" outlineLevel="0" collapsed="false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customFormat="false" ht="13.5" hidden="false" customHeight="true" outlineLevel="0" collapsed="false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customFormat="false" ht="13.5" hidden="false" customHeight="true" outlineLevel="0" collapsed="false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customFormat="false" ht="13.5" hidden="false" customHeight="true" outlineLevel="0" collapsed="false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customFormat="false" ht="13.5" hidden="false" customHeight="true" outlineLevel="0" collapsed="false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customFormat="false" ht="13.5" hidden="false" customHeight="true" outlineLevel="0" collapsed="false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customFormat="false" ht="13.5" hidden="false" customHeight="true" outlineLevel="0" collapsed="false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customFormat="false" ht="13.5" hidden="false" customHeight="true" outlineLevel="0" collapsed="false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customFormat="false" ht="13.5" hidden="false" customHeight="true" outlineLevel="0" collapsed="false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customFormat="false" ht="13.5" hidden="false" customHeight="true" outlineLevel="0" collapsed="false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customFormat="false" ht="13.5" hidden="false" customHeight="true" outlineLevel="0" collapsed="false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customFormat="false" ht="13.5" hidden="false" customHeight="true" outlineLevel="0" collapsed="false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customFormat="false" ht="13.5" hidden="false" customHeight="true" outlineLevel="0" collapsed="false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customFormat="false" ht="13.5" hidden="false" customHeight="true" outlineLevel="0" collapsed="false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customFormat="false" ht="13.5" hidden="false" customHeight="true" outlineLevel="0" collapsed="false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customFormat="false" ht="13.5" hidden="false" customHeight="true" outlineLevel="0" collapsed="false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customFormat="false" ht="13.5" hidden="false" customHeight="true" outlineLevel="0" collapsed="false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customFormat="false" ht="13.5" hidden="false" customHeight="true" outlineLevel="0" collapsed="false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customFormat="false" ht="13.5" hidden="false" customHeight="true" outlineLevel="0" collapsed="false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customFormat="false" ht="13.5" hidden="false" customHeight="true" outlineLevel="0" collapsed="false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customFormat="false" ht="13.5" hidden="false" customHeight="true" outlineLevel="0" collapsed="false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customFormat="false" ht="13.5" hidden="false" customHeight="true" outlineLevel="0" collapsed="false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customFormat="false" ht="13.5" hidden="false" customHeight="true" outlineLevel="0" collapsed="false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customFormat="false" ht="13.5" hidden="false" customHeight="true" outlineLevel="0" collapsed="false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customFormat="false" ht="13.5" hidden="false" customHeight="true" outlineLevel="0" collapsed="false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customFormat="false" ht="13.5" hidden="false" customHeight="true" outlineLevel="0" collapsed="false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customFormat="false" ht="13.5" hidden="false" customHeight="true" outlineLevel="0" collapsed="false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customFormat="false" ht="13.5" hidden="false" customHeight="true" outlineLevel="0" collapsed="false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customFormat="false" ht="13.5" hidden="false" customHeight="true" outlineLevel="0" collapsed="false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customFormat="false" ht="13.5" hidden="false" customHeight="true" outlineLevel="0" collapsed="false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customFormat="false" ht="13.5" hidden="false" customHeight="true" outlineLevel="0" collapsed="false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customFormat="false" ht="13.5" hidden="false" customHeight="true" outlineLevel="0" collapsed="false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customFormat="false" ht="13.5" hidden="false" customHeight="true" outlineLevel="0" collapsed="false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customFormat="false" ht="13.5" hidden="false" customHeight="true" outlineLevel="0" collapsed="false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customFormat="false" ht="13.5" hidden="false" customHeight="true" outlineLevel="0" collapsed="false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customFormat="false" ht="13.5" hidden="false" customHeight="true" outlineLevel="0" collapsed="false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customFormat="false" ht="13.5" hidden="false" customHeight="true" outlineLevel="0" collapsed="false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customFormat="false" ht="13.5" hidden="false" customHeight="true" outlineLevel="0" collapsed="false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customFormat="false" ht="13.5" hidden="false" customHeight="true" outlineLevel="0" collapsed="false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customFormat="false" ht="13.5" hidden="false" customHeight="true" outlineLevel="0" collapsed="false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customFormat="false" ht="13.5" hidden="false" customHeight="true" outlineLevel="0" collapsed="false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customFormat="false" ht="13.5" hidden="false" customHeight="true" outlineLevel="0" collapsed="false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customFormat="false" ht="13.5" hidden="false" customHeight="true" outlineLevel="0" collapsed="false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customFormat="false" ht="13.5" hidden="false" customHeight="true" outlineLevel="0" collapsed="false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customFormat="false" ht="13.5" hidden="false" customHeight="true" outlineLevel="0" collapsed="false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customFormat="false" ht="13.5" hidden="false" customHeight="true" outlineLevel="0" collapsed="false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customFormat="false" ht="13.5" hidden="false" customHeight="true" outlineLevel="0" collapsed="false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customFormat="false" ht="13.5" hidden="false" customHeight="true" outlineLevel="0" collapsed="false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customFormat="false" ht="13.5" hidden="false" customHeight="true" outlineLevel="0" collapsed="false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customFormat="false" ht="13.5" hidden="false" customHeight="true" outlineLevel="0" collapsed="false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customFormat="false" ht="13.5" hidden="false" customHeight="true" outlineLevel="0" collapsed="false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customFormat="false" ht="13.5" hidden="false" customHeight="true" outlineLevel="0" collapsed="false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customFormat="false" ht="13.5" hidden="false" customHeight="true" outlineLevel="0" collapsed="false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customFormat="false" ht="13.5" hidden="false" customHeight="true" outlineLevel="0" collapsed="false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customFormat="false" ht="13.5" hidden="false" customHeight="true" outlineLevel="0" collapsed="false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customFormat="false" ht="13.5" hidden="false" customHeight="true" outlineLevel="0" collapsed="false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customFormat="false" ht="13.5" hidden="false" customHeight="true" outlineLevel="0" collapsed="false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customFormat="false" ht="13.5" hidden="false" customHeight="true" outlineLevel="0" collapsed="false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customFormat="false" ht="13.5" hidden="false" customHeight="true" outlineLevel="0" collapsed="false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customFormat="false" ht="13.5" hidden="false" customHeight="true" outlineLevel="0" collapsed="false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customFormat="false" ht="13.5" hidden="false" customHeight="true" outlineLevel="0" collapsed="false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customFormat="false" ht="13.5" hidden="false" customHeight="true" outlineLevel="0" collapsed="false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customFormat="false" ht="13.5" hidden="false" customHeight="true" outlineLevel="0" collapsed="false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customFormat="false" ht="13.5" hidden="false" customHeight="true" outlineLevel="0" collapsed="false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customFormat="false" ht="13.5" hidden="false" customHeight="true" outlineLevel="0" collapsed="false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customFormat="false" ht="13.5" hidden="false" customHeight="true" outlineLevel="0" collapsed="false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customFormat="false" ht="13.5" hidden="false" customHeight="true" outlineLevel="0" collapsed="false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customFormat="false" ht="13.5" hidden="false" customHeight="true" outlineLevel="0" collapsed="false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customFormat="false" ht="13.5" hidden="false" customHeight="true" outlineLevel="0" collapsed="false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customFormat="false" ht="13.5" hidden="false" customHeight="true" outlineLevel="0" collapsed="false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customFormat="false" ht="13.5" hidden="false" customHeight="true" outlineLevel="0" collapsed="false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customFormat="false" ht="13.5" hidden="false" customHeight="true" outlineLevel="0" collapsed="false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customFormat="false" ht="13.5" hidden="false" customHeight="true" outlineLevel="0" collapsed="false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customFormat="false" ht="13.5" hidden="false" customHeight="true" outlineLevel="0" collapsed="false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customFormat="false" ht="13.5" hidden="false" customHeight="true" outlineLevel="0" collapsed="false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customFormat="false" ht="13.5" hidden="false" customHeight="true" outlineLevel="0" collapsed="false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customFormat="false" ht="13.5" hidden="false" customHeight="true" outlineLevel="0" collapsed="false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customFormat="false" ht="13.5" hidden="false" customHeight="true" outlineLevel="0" collapsed="false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customFormat="false" ht="13.5" hidden="false" customHeight="true" outlineLevel="0" collapsed="false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customFormat="false" ht="13.5" hidden="false" customHeight="true" outlineLevel="0" collapsed="false">
      <c r="A1001" s="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customFormat="false" ht="13.5" hidden="false" customHeight="true" outlineLevel="0" collapsed="false">
      <c r="A1002" s="3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customFormat="false" ht="13.5" hidden="false" customHeight="true" outlineLevel="0" collapsed="false">
      <c r="A1003" s="3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customFormat="false" ht="13.5" hidden="false" customHeight="true" outlineLevel="0" collapsed="false">
      <c r="A1004" s="3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customFormat="false" ht="13.5" hidden="false" customHeight="true" outlineLevel="0" collapsed="false">
      <c r="A1005" s="3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customFormat="false" ht="13.5" hidden="false" customHeight="true" outlineLevel="0" collapsed="false">
      <c r="A1006" s="3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customFormat="false" ht="13.5" hidden="false" customHeight="true" outlineLevel="0" collapsed="false">
      <c r="A1007" s="3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customFormat="false" ht="13.5" hidden="false" customHeight="true" outlineLevel="0" collapsed="false">
      <c r="A1008" s="3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customFormat="false" ht="13.5" hidden="false" customHeight="true" outlineLevel="0" collapsed="false">
      <c r="A1009" s="3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customFormat="false" ht="13.5" hidden="false" customHeight="true" outlineLevel="0" collapsed="false">
      <c r="A1010" s="3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customFormat="false" ht="13.5" hidden="false" customHeight="true" outlineLevel="0" collapsed="false">
      <c r="A1011" s="3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customFormat="false" ht="13.5" hidden="false" customHeight="true" outlineLevel="0" collapsed="false">
      <c r="A1012" s="3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customFormat="false" ht="13.5" hidden="false" customHeight="true" outlineLevel="0" collapsed="false">
      <c r="A1013" s="3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customFormat="false" ht="13.5" hidden="false" customHeight="true" outlineLevel="0" collapsed="false">
      <c r="A1014" s="3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customFormat="false" ht="13.5" hidden="false" customHeight="true" outlineLevel="0" collapsed="false">
      <c r="A1015" s="3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customFormat="false" ht="13.5" hidden="false" customHeight="true" outlineLevel="0" collapsed="false">
      <c r="A1016" s="3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customFormat="false" ht="13.5" hidden="false" customHeight="true" outlineLevel="0" collapsed="false">
      <c r="A1017" s="3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customFormat="false" ht="13.5" hidden="false" customHeight="true" outlineLevel="0" collapsed="false">
      <c r="A1018" s="3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customFormat="false" ht="13.5" hidden="false" customHeight="true" outlineLevel="0" collapsed="false">
      <c r="A1019" s="3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customFormat="false" ht="13.5" hidden="false" customHeight="true" outlineLevel="0" collapsed="false">
      <c r="A1020" s="3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customFormat="false" ht="13.5" hidden="false" customHeight="true" outlineLevel="0" collapsed="false">
      <c r="A1021" s="3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</sheetData>
  <mergeCells count="3">
    <mergeCell ref="A1:H1"/>
    <mergeCell ref="D2:F2"/>
    <mergeCell ref="A37:D37"/>
  </mergeCells>
  <hyperlinks>
    <hyperlink ref="H17" r:id="rId1" display="Giá được tham khảo tại trang webclaude.com với gói Team $240/năm tương đương $20/tháng và tỷ giá được xác định theo ngày 20/07/2026 với 1 USD = 26.940 VND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8"/>
  <sheetViews>
    <sheetView showFormulas="false" showGridLines="false" showRowColHeaders="true" showZeros="true" rightToLeft="false" tabSelected="false" showOutlineSymbols="true" defaultGridColor="true" view="normal" topLeftCell="C1" colorId="64" zoomScale="81" zoomScaleNormal="81" zoomScalePageLayoutView="100" workbookViewId="0">
      <pane xSplit="0" ySplit="3" topLeftCell="A10" activePane="bottomLeft" state="frozen"/>
      <selection pane="topLeft" activeCell="C1" activeCellId="0" sqref="C1"/>
      <selection pane="bottomLeft" activeCell="N18" activeCellId="0" sqref="N18"/>
    </sheetView>
  </sheetViews>
  <sheetFormatPr defaultColWidth="12.6328125" defaultRowHeight="14.25" zeroHeight="false" outlineLevelRow="0" outlineLevelCol="0"/>
  <cols>
    <col collapsed="false" customWidth="true" hidden="false" outlineLevel="0" max="1" min="1" style="0" width="12.36"/>
    <col collapsed="false" customWidth="true" hidden="false" outlineLevel="0" max="2" min="2" style="0" width="28.36"/>
    <col collapsed="false" customWidth="true" hidden="false" outlineLevel="0" max="3" min="3" style="0" width="75.09"/>
    <col collapsed="false" customWidth="true" hidden="false" outlineLevel="0" max="4" min="4" style="0" width="13.27"/>
    <col collapsed="false" customWidth="true" hidden="false" outlineLevel="0" max="5" min="5" style="0" width="16.91"/>
    <col collapsed="false" customWidth="true" hidden="false" outlineLevel="0" max="7" min="6" style="0" width="14"/>
    <col collapsed="false" customWidth="true" hidden="false" outlineLevel="0" max="8" min="8" style="0" width="15.09"/>
    <col collapsed="false" customWidth="true" hidden="false" outlineLevel="0" max="13" min="9" style="0" width="14"/>
    <col collapsed="false" customWidth="true" hidden="false" outlineLevel="0" max="16" min="14" style="0" width="15"/>
    <col collapsed="false" customWidth="true" hidden="false" outlineLevel="0" max="17" min="17" style="0" width="48.73"/>
    <col collapsed="false" customWidth="true" hidden="false" outlineLevel="0" max="18" min="18" style="0" width="22.09"/>
    <col collapsed="false" customWidth="true" hidden="false" outlineLevel="0" max="26" min="19" style="0" width="8.63"/>
  </cols>
  <sheetData>
    <row r="1" customFormat="false" ht="24" hidden="false" customHeight="true" outlineLevel="0" collapsed="false">
      <c r="A1" s="48" t="s">
        <v>78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customFormat="false" ht="17.25" hidden="false" customHeight="true" outlineLevel="0" collapsed="false">
      <c r="A2" s="49"/>
      <c r="B2" s="50" t="s">
        <v>79</v>
      </c>
      <c r="C2" s="50"/>
      <c r="D2" s="51" t="s">
        <v>80</v>
      </c>
      <c r="E2" s="51"/>
      <c r="F2" s="51"/>
      <c r="G2" s="51"/>
      <c r="H2" s="51"/>
      <c r="I2" s="51"/>
      <c r="J2" s="52"/>
      <c r="K2" s="52"/>
      <c r="L2" s="52"/>
      <c r="M2" s="52"/>
      <c r="N2" s="52"/>
      <c r="O2" s="52"/>
      <c r="P2" s="52"/>
      <c r="Q2" s="52"/>
      <c r="R2" s="53"/>
      <c r="S2" s="2"/>
      <c r="T2" s="2"/>
      <c r="U2" s="2"/>
      <c r="V2" s="2"/>
      <c r="W2" s="2"/>
      <c r="X2" s="2"/>
      <c r="Y2" s="2"/>
      <c r="Z2" s="2"/>
    </row>
    <row r="3" customFormat="false" ht="48" hidden="false" customHeight="true" outlineLevel="0" collapsed="false">
      <c r="A3" s="5" t="s">
        <v>81</v>
      </c>
      <c r="B3" s="5" t="s">
        <v>82</v>
      </c>
      <c r="C3" s="5" t="s">
        <v>83</v>
      </c>
      <c r="D3" s="5" t="s">
        <v>84</v>
      </c>
      <c r="E3" s="5" t="s">
        <v>85</v>
      </c>
      <c r="F3" s="5" t="s">
        <v>86</v>
      </c>
      <c r="G3" s="5" t="s">
        <v>87</v>
      </c>
      <c r="H3" s="5" t="s">
        <v>88</v>
      </c>
      <c r="I3" s="5" t="s">
        <v>89</v>
      </c>
      <c r="J3" s="5" t="s">
        <v>90</v>
      </c>
      <c r="K3" s="5" t="s">
        <v>91</v>
      </c>
      <c r="L3" s="5" t="s">
        <v>92</v>
      </c>
      <c r="M3" s="5" t="s">
        <v>93</v>
      </c>
      <c r="N3" s="5" t="s">
        <v>94</v>
      </c>
      <c r="O3" s="5" t="s">
        <v>95</v>
      </c>
      <c r="P3" s="5" t="s">
        <v>96</v>
      </c>
      <c r="Q3" s="5" t="s">
        <v>97</v>
      </c>
      <c r="R3" s="54" t="s">
        <v>98</v>
      </c>
      <c r="S3" s="2"/>
      <c r="T3" s="55"/>
      <c r="U3" s="55"/>
      <c r="V3" s="55"/>
      <c r="W3" s="55"/>
      <c r="X3" s="55"/>
      <c r="Y3" s="55"/>
      <c r="Z3" s="2"/>
    </row>
    <row r="4" customFormat="false" ht="22.5" hidden="false" customHeight="true" outlineLevel="0" collapsed="false">
      <c r="A4" s="56" t="s">
        <v>99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7"/>
      <c r="S4" s="58"/>
      <c r="T4" s="58"/>
      <c r="U4" s="58"/>
      <c r="V4" s="58"/>
      <c r="W4" s="58"/>
      <c r="X4" s="58"/>
      <c r="Y4" s="58"/>
      <c r="Z4" s="58"/>
    </row>
    <row r="5" customFormat="false" ht="32.25" hidden="false" customHeight="true" outlineLevel="0" collapsed="false">
      <c r="A5" s="17" t="s">
        <v>100</v>
      </c>
      <c r="B5" s="17" t="s">
        <v>101</v>
      </c>
      <c r="C5" s="17" t="s">
        <v>102</v>
      </c>
      <c r="D5" s="17" t="s">
        <v>103</v>
      </c>
      <c r="E5" s="59" t="n">
        <v>12</v>
      </c>
      <c r="F5" s="59" t="n">
        <v>12</v>
      </c>
      <c r="G5" s="59" t="n">
        <v>12</v>
      </c>
      <c r="H5" s="59" t="n">
        <v>12</v>
      </c>
      <c r="I5" s="59" t="n">
        <v>12</v>
      </c>
      <c r="J5" s="59" t="n">
        <v>12</v>
      </c>
      <c r="K5" s="59" t="n">
        <v>12</v>
      </c>
      <c r="L5" s="59" t="n">
        <v>12</v>
      </c>
      <c r="M5" s="59" t="n">
        <v>12</v>
      </c>
      <c r="N5" s="60" t="n">
        <f aca="false">IF($B$2="Thận trọng",E5,IF($B$2="Cơ sở",H5,K5))</f>
        <v>12</v>
      </c>
      <c r="O5" s="60" t="n">
        <f aca="false">IF($B$2="Thận trọng",F5,IF($B$2="Cơ sở",I5,L5))</f>
        <v>12</v>
      </c>
      <c r="P5" s="60" t="n">
        <f aca="false">IF($B$2="Thận trọng",G5,IF($B$2="Cơ sở",J5,M5))</f>
        <v>12</v>
      </c>
      <c r="Q5" s="61" t="s">
        <v>104</v>
      </c>
      <c r="R5" s="62" t="s">
        <v>105</v>
      </c>
      <c r="S5" s="2"/>
      <c r="T5" s="2"/>
      <c r="U5" s="2"/>
      <c r="V5" s="2"/>
      <c r="W5" s="2"/>
      <c r="X5" s="2"/>
      <c r="Y5" s="2"/>
      <c r="Z5" s="2"/>
    </row>
    <row r="6" customFormat="false" ht="63.75" hidden="false" customHeight="true" outlineLevel="0" collapsed="false">
      <c r="A6" s="17" t="s">
        <v>100</v>
      </c>
      <c r="B6" s="17" t="s">
        <v>106</v>
      </c>
      <c r="C6" s="17" t="s">
        <v>107</v>
      </c>
      <c r="D6" s="17" t="s">
        <v>108</v>
      </c>
      <c r="E6" s="59" t="n">
        <v>20000</v>
      </c>
      <c r="F6" s="59" t="n">
        <v>30000</v>
      </c>
      <c r="G6" s="59" t="n">
        <v>45000</v>
      </c>
      <c r="H6" s="59" t="n">
        <v>40000</v>
      </c>
      <c r="I6" s="59" t="n">
        <v>50000</v>
      </c>
      <c r="J6" s="59" t="n">
        <v>70000</v>
      </c>
      <c r="K6" s="59" t="n">
        <v>50000</v>
      </c>
      <c r="L6" s="59" t="n">
        <v>70000</v>
      </c>
      <c r="M6" s="59" t="n">
        <v>100000</v>
      </c>
      <c r="N6" s="60" t="n">
        <f aca="false">IF($B$2="Thận trọng",E6,IF($B$2="Cơ sở",H6,K6))</f>
        <v>40000</v>
      </c>
      <c r="O6" s="60" t="n">
        <f aca="false">IF($B$2="Thận trọng",F6,IF($B$2="Cơ sở",I6,L6))</f>
        <v>50000</v>
      </c>
      <c r="P6" s="60" t="n">
        <f aca="false">IF($B$2="Thận trọng",G6,IF($B$2="Cơ sở",J6,M6))</f>
        <v>70000</v>
      </c>
      <c r="Q6" s="61" t="s">
        <v>109</v>
      </c>
      <c r="R6" s="62" t="s">
        <v>110</v>
      </c>
      <c r="S6" s="2"/>
      <c r="T6" s="2"/>
      <c r="U6" s="2"/>
      <c r="V6" s="2"/>
      <c r="W6" s="2"/>
      <c r="X6" s="2"/>
      <c r="Y6" s="2"/>
      <c r="Z6" s="2"/>
    </row>
    <row r="7" customFormat="false" ht="32.25" hidden="false" customHeight="true" outlineLevel="0" collapsed="false">
      <c r="A7" s="17" t="s">
        <v>100</v>
      </c>
      <c r="B7" s="17" t="s">
        <v>111</v>
      </c>
      <c r="C7" s="17" t="s">
        <v>112</v>
      </c>
      <c r="D7" s="17" t="s">
        <v>113</v>
      </c>
      <c r="E7" s="63" t="n">
        <v>0.3</v>
      </c>
      <c r="F7" s="63" t="n">
        <v>0.4</v>
      </c>
      <c r="G7" s="63" t="n">
        <v>0.5</v>
      </c>
      <c r="H7" s="63" t="n">
        <v>0.35</v>
      </c>
      <c r="I7" s="63" t="n">
        <v>0.45</v>
      </c>
      <c r="J7" s="63" t="n">
        <v>0.55</v>
      </c>
      <c r="K7" s="63" t="n">
        <v>0.4</v>
      </c>
      <c r="L7" s="63" t="n">
        <v>0.5</v>
      </c>
      <c r="M7" s="63" t="n">
        <v>0.6</v>
      </c>
      <c r="N7" s="64" t="n">
        <f aca="false">IF($B$2="Thận trọng",E7,IF($B$2="Cơ sở",H7,K7))</f>
        <v>0.35</v>
      </c>
      <c r="O7" s="64" t="n">
        <f aca="false">IF($B$2="Thận trọng",F7,IF($B$2="Cơ sở",I7,L7))</f>
        <v>0.45</v>
      </c>
      <c r="P7" s="64" t="n">
        <f aca="false">IF($B$2="Thận trọng",G7,IF($B$2="Cơ sở",J7,M7))</f>
        <v>0.55</v>
      </c>
      <c r="Q7" s="61" t="s">
        <v>114</v>
      </c>
      <c r="R7" s="62" t="s">
        <v>110</v>
      </c>
      <c r="S7" s="2"/>
      <c r="T7" s="2"/>
      <c r="U7" s="2"/>
      <c r="V7" s="2"/>
      <c r="W7" s="2"/>
      <c r="X7" s="2"/>
      <c r="Y7" s="2"/>
      <c r="Z7" s="2"/>
    </row>
    <row r="8" customFormat="false" ht="32.25" hidden="false" customHeight="true" outlineLevel="0" collapsed="false">
      <c r="A8" s="65" t="s">
        <v>100</v>
      </c>
      <c r="B8" s="65" t="s">
        <v>115</v>
      </c>
      <c r="C8" s="65" t="s">
        <v>116</v>
      </c>
      <c r="D8" s="65" t="s">
        <v>113</v>
      </c>
      <c r="E8" s="66" t="n">
        <v>0.03</v>
      </c>
      <c r="F8" s="66" t="n">
        <v>0.04</v>
      </c>
      <c r="G8" s="66" t="n">
        <v>0.05</v>
      </c>
      <c r="H8" s="66" t="n">
        <v>0.04</v>
      </c>
      <c r="I8" s="66" t="n">
        <v>0.05</v>
      </c>
      <c r="J8" s="66" t="n">
        <v>0.06</v>
      </c>
      <c r="K8" s="66" t="n">
        <v>0.05</v>
      </c>
      <c r="L8" s="66" t="n">
        <v>0.06</v>
      </c>
      <c r="M8" s="66" t="n">
        <v>0.07</v>
      </c>
      <c r="N8" s="67" t="n">
        <f aca="false">IF($B$2="Thận trọng",E8,IF($B$2="Cơ sở",H8,K8))</f>
        <v>0.04</v>
      </c>
      <c r="O8" s="67" t="n">
        <f aca="false">IF($B$2="Thận trọng",F8,IF($B$2="Cơ sở",I8,L8))</f>
        <v>0.05</v>
      </c>
      <c r="P8" s="67" t="n">
        <f aca="false">IF($B$2="Thận trọng",G8,IF($B$2="Cơ sở",J8,M8))</f>
        <v>0.06</v>
      </c>
      <c r="Q8" s="68" t="s">
        <v>117</v>
      </c>
      <c r="R8" s="69" t="s">
        <v>110</v>
      </c>
      <c r="S8" s="70"/>
      <c r="T8" s="70"/>
      <c r="U8" s="70"/>
      <c r="V8" s="70"/>
      <c r="W8" s="70"/>
      <c r="X8" s="70"/>
      <c r="Y8" s="70"/>
      <c r="Z8" s="70"/>
    </row>
    <row r="9" customFormat="false" ht="32.25" hidden="false" customHeight="true" outlineLevel="0" collapsed="false">
      <c r="A9" s="17" t="s">
        <v>100</v>
      </c>
      <c r="B9" s="17" t="s">
        <v>118</v>
      </c>
      <c r="C9" s="17" t="s">
        <v>119</v>
      </c>
      <c r="D9" s="17" t="s">
        <v>113</v>
      </c>
      <c r="E9" s="63" t="n">
        <v>0.75</v>
      </c>
      <c r="F9" s="63" t="n">
        <v>0.7</v>
      </c>
      <c r="G9" s="63" t="n">
        <v>0.65</v>
      </c>
      <c r="H9" s="63" t="n">
        <v>0.7</v>
      </c>
      <c r="I9" s="63" t="n">
        <v>0.65</v>
      </c>
      <c r="J9" s="63" t="n">
        <v>0.6</v>
      </c>
      <c r="K9" s="63" t="n">
        <v>0.65</v>
      </c>
      <c r="L9" s="63" t="n">
        <v>0.6</v>
      </c>
      <c r="M9" s="63" t="n">
        <v>0.55</v>
      </c>
      <c r="N9" s="64" t="n">
        <f aca="false">IF($B$2="Thận trọng",E9,IF($B$2="Cơ sở",H9,K9))</f>
        <v>0.7</v>
      </c>
      <c r="O9" s="64" t="n">
        <f aca="false">IF($B$2="Thận trọng",F9,IF($B$2="Cơ sở",I9,L9))</f>
        <v>0.65</v>
      </c>
      <c r="P9" s="64" t="n">
        <f aca="false">IF($B$2="Thận trọng",G9,IF($B$2="Cơ sở",J9,M9))</f>
        <v>0.6</v>
      </c>
      <c r="Q9" s="61" t="s">
        <v>114</v>
      </c>
      <c r="R9" s="62" t="s">
        <v>110</v>
      </c>
      <c r="S9" s="2"/>
      <c r="T9" s="2"/>
      <c r="U9" s="2"/>
      <c r="V9" s="2"/>
      <c r="W9" s="2"/>
      <c r="X9" s="2"/>
      <c r="Y9" s="2"/>
      <c r="Z9" s="2"/>
    </row>
    <row r="10" customFormat="false" ht="32.25" hidden="false" customHeight="true" outlineLevel="0" collapsed="false">
      <c r="A10" s="17" t="s">
        <v>100</v>
      </c>
      <c r="B10" s="17" t="s">
        <v>120</v>
      </c>
      <c r="C10" s="17" t="s">
        <v>121</v>
      </c>
      <c r="D10" s="17" t="s">
        <v>113</v>
      </c>
      <c r="E10" s="63" t="n">
        <v>0.25</v>
      </c>
      <c r="F10" s="63" t="n">
        <v>0.3</v>
      </c>
      <c r="G10" s="63" t="n">
        <v>0.35</v>
      </c>
      <c r="H10" s="63" t="n">
        <v>0.3</v>
      </c>
      <c r="I10" s="63" t="n">
        <v>0.35</v>
      </c>
      <c r="J10" s="63" t="n">
        <v>0.4</v>
      </c>
      <c r="K10" s="63" t="n">
        <v>0.35</v>
      </c>
      <c r="L10" s="63" t="n">
        <v>0.4</v>
      </c>
      <c r="M10" s="63" t="n">
        <v>0.45</v>
      </c>
      <c r="N10" s="64" t="n">
        <f aca="false">IF($B$2="Thận trọng",E10,IF($B$2="Cơ sở",H10,K10))</f>
        <v>0.3</v>
      </c>
      <c r="O10" s="64" t="n">
        <f aca="false">IF($B$2="Thận trọng",F10,IF($B$2="Cơ sở",I10,L10))</f>
        <v>0.35</v>
      </c>
      <c r="P10" s="64" t="n">
        <f aca="false">IF($B$2="Thận trọng",G10,IF($B$2="Cơ sở",J10,M10))</f>
        <v>0.4</v>
      </c>
      <c r="Q10" s="61" t="s">
        <v>114</v>
      </c>
      <c r="R10" s="62" t="s">
        <v>110</v>
      </c>
      <c r="S10" s="2"/>
      <c r="T10" s="2"/>
      <c r="U10" s="2"/>
      <c r="V10" s="2"/>
      <c r="W10" s="2"/>
      <c r="X10" s="2"/>
      <c r="Y10" s="2"/>
      <c r="Z10" s="2"/>
    </row>
    <row r="11" customFormat="false" ht="32.25" hidden="false" customHeight="true" outlineLevel="0" collapsed="false">
      <c r="A11" s="17" t="s">
        <v>100</v>
      </c>
      <c r="B11" s="17" t="s">
        <v>122</v>
      </c>
      <c r="C11" s="17" t="s">
        <v>123</v>
      </c>
      <c r="D11" s="17" t="s">
        <v>113</v>
      </c>
      <c r="E11" s="71" t="n">
        <v>0.8</v>
      </c>
      <c r="F11" s="71" t="n">
        <v>0.7</v>
      </c>
      <c r="G11" s="71" t="n">
        <v>0.6</v>
      </c>
      <c r="H11" s="71" t="n">
        <v>0.6</v>
      </c>
      <c r="I11" s="71" t="n">
        <v>0.45</v>
      </c>
      <c r="J11" s="71" t="n">
        <v>0.35</v>
      </c>
      <c r="K11" s="71" t="n">
        <v>0.4</v>
      </c>
      <c r="L11" s="71" t="n">
        <v>0.25</v>
      </c>
      <c r="M11" s="71" t="n">
        <v>0.15</v>
      </c>
      <c r="N11" s="72" t="n">
        <f aca="false">IF($B$2="Thận trọng",E11,IF($B$2="Cơ sở",H11,K11))</f>
        <v>0.6</v>
      </c>
      <c r="O11" s="72" t="n">
        <f aca="false">IF($B$2="Thận trọng",F11,IF($B$2="Cơ sở",I11,L11))</f>
        <v>0.45</v>
      </c>
      <c r="P11" s="72" t="n">
        <f aca="false">IF($B$2="Thận trọng",G11,IF($B$2="Cơ sở",J11,M11))</f>
        <v>0.35</v>
      </c>
      <c r="Q11" s="61" t="s">
        <v>114</v>
      </c>
      <c r="R11" s="73" t="s">
        <v>110</v>
      </c>
      <c r="S11" s="2"/>
      <c r="T11" s="2"/>
      <c r="U11" s="2"/>
      <c r="V11" s="2"/>
      <c r="W11" s="2"/>
      <c r="X11" s="2"/>
      <c r="Y11" s="2"/>
      <c r="Z11" s="2"/>
    </row>
    <row r="12" customFormat="false" ht="32.25" hidden="false" customHeight="true" outlineLevel="0" collapsed="false">
      <c r="A12" s="17" t="s">
        <v>100</v>
      </c>
      <c r="B12" s="17" t="s">
        <v>124</v>
      </c>
      <c r="C12" s="17" t="s">
        <v>125</v>
      </c>
      <c r="D12" s="17" t="s">
        <v>113</v>
      </c>
      <c r="E12" s="71" t="n">
        <v>0.2</v>
      </c>
      <c r="F12" s="71" t="n">
        <v>0.3</v>
      </c>
      <c r="G12" s="71" t="n">
        <v>0.4</v>
      </c>
      <c r="H12" s="71" t="n">
        <v>0.4</v>
      </c>
      <c r="I12" s="71" t="n">
        <v>0.55</v>
      </c>
      <c r="J12" s="71" t="n">
        <v>0.65</v>
      </c>
      <c r="K12" s="71" t="n">
        <v>0.6</v>
      </c>
      <c r="L12" s="71" t="n">
        <v>0.75</v>
      </c>
      <c r="M12" s="71" t="n">
        <v>0.85</v>
      </c>
      <c r="N12" s="72" t="n">
        <f aca="false">IF($B$2="Thận trọng",E12,IF($B$2="Cơ sở",H12,K12))</f>
        <v>0.4</v>
      </c>
      <c r="O12" s="72" t="n">
        <f aca="false">IF($B$2="Thận trọng",F12,IF($B$2="Cơ sở",I12,L12))</f>
        <v>0.55</v>
      </c>
      <c r="P12" s="72" t="n">
        <f aca="false">IF($B$2="Thận trọng",G12,IF($B$2="Cơ sở",J12,M12))</f>
        <v>0.65</v>
      </c>
      <c r="Q12" s="61" t="s">
        <v>114</v>
      </c>
      <c r="R12" s="73" t="s">
        <v>110</v>
      </c>
      <c r="S12" s="2"/>
      <c r="T12" s="2"/>
      <c r="U12" s="2"/>
      <c r="V12" s="2"/>
      <c r="W12" s="2"/>
      <c r="X12" s="2"/>
      <c r="Y12" s="2"/>
      <c r="Z12" s="2"/>
    </row>
    <row r="13" customFormat="false" ht="32.25" hidden="false" customHeight="true" outlineLevel="0" collapsed="false">
      <c r="A13" s="17" t="s">
        <v>100</v>
      </c>
      <c r="B13" s="74" t="s">
        <v>126</v>
      </c>
      <c r="C13" s="74" t="s">
        <v>127</v>
      </c>
      <c r="D13" s="74" t="s">
        <v>108</v>
      </c>
      <c r="E13" s="75" t="n">
        <f aca="false">E6*E7</f>
        <v>6000</v>
      </c>
      <c r="F13" s="75" t="n">
        <f aca="false">F6*F7</f>
        <v>12000</v>
      </c>
      <c r="G13" s="75" t="n">
        <f aca="false">G6*G7</f>
        <v>22500</v>
      </c>
      <c r="H13" s="75" t="n">
        <f aca="false">H6*H7</f>
        <v>14000</v>
      </c>
      <c r="I13" s="75" t="n">
        <f aca="false">I6*I7</f>
        <v>22500</v>
      </c>
      <c r="J13" s="75" t="n">
        <f aca="false">J6*J7</f>
        <v>38500</v>
      </c>
      <c r="K13" s="75" t="n">
        <f aca="false">K6*K7</f>
        <v>20000</v>
      </c>
      <c r="L13" s="75" t="n">
        <f aca="false">L6*L7</f>
        <v>35000</v>
      </c>
      <c r="M13" s="75" t="n">
        <f aca="false">M6*M7</f>
        <v>60000</v>
      </c>
      <c r="N13" s="75" t="n">
        <f aca="false">IF($B$2="Thận trọng",E13,IF($B$2="Cơ sở",H13,K13))</f>
        <v>14000</v>
      </c>
      <c r="O13" s="75" t="n">
        <f aca="false">IF($B$2="Thận trọng",F13,IF($B$2="Cơ sở",I13,L13))</f>
        <v>22500</v>
      </c>
      <c r="P13" s="75" t="n">
        <f aca="false">IF($B$2="Thận trọng",G13,IF($B$2="Cơ sở",J13,M13))</f>
        <v>38500</v>
      </c>
      <c r="Q13" s="61" t="s">
        <v>114</v>
      </c>
      <c r="R13" s="73" t="s">
        <v>110</v>
      </c>
      <c r="S13" s="2"/>
      <c r="T13" s="2"/>
      <c r="U13" s="2"/>
      <c r="V13" s="2"/>
      <c r="W13" s="2"/>
      <c r="X13" s="2"/>
      <c r="Y13" s="2"/>
      <c r="Z13" s="2"/>
    </row>
    <row r="14" customFormat="false" ht="32.25" hidden="false" customHeight="true" outlineLevel="0" collapsed="false">
      <c r="A14" s="17" t="s">
        <v>100</v>
      </c>
      <c r="B14" s="17" t="s">
        <v>128</v>
      </c>
      <c r="C14" s="76" t="s">
        <v>129</v>
      </c>
      <c r="D14" s="74" t="s">
        <v>108</v>
      </c>
      <c r="E14" s="77" t="n">
        <v>5950</v>
      </c>
      <c r="F14" s="77" t="n">
        <v>11900</v>
      </c>
      <c r="G14" s="77" t="n">
        <v>22300</v>
      </c>
      <c r="H14" s="77" t="n">
        <v>13900</v>
      </c>
      <c r="I14" s="77" t="n">
        <v>22350</v>
      </c>
      <c r="J14" s="77" t="n">
        <v>38250</v>
      </c>
      <c r="K14" s="77" t="n">
        <v>19850</v>
      </c>
      <c r="L14" s="77" t="n">
        <v>34800</v>
      </c>
      <c r="M14" s="77" t="n">
        <v>59650</v>
      </c>
      <c r="N14" s="78" t="n">
        <f aca="false">IF($B$2="Thận trọng",E14,IF($B$2="Cơ sở",H14,K14))</f>
        <v>13900</v>
      </c>
      <c r="O14" s="78" t="n">
        <f aca="false">IF($B$2="Thận trọng",F14,IF($B$2="Cơ sở",I14,L14))</f>
        <v>22350</v>
      </c>
      <c r="P14" s="78" t="n">
        <f aca="false">IF($B$2="Thận trọng",G14,IF($B$2="Cơ sở",J14,M14))</f>
        <v>38250</v>
      </c>
      <c r="Q14" s="61" t="s">
        <v>114</v>
      </c>
      <c r="R14" s="62" t="s">
        <v>110</v>
      </c>
      <c r="S14" s="2"/>
      <c r="T14" s="2"/>
      <c r="U14" s="2"/>
      <c r="V14" s="2"/>
      <c r="W14" s="2"/>
      <c r="X14" s="2"/>
      <c r="Y14" s="2"/>
      <c r="Z14" s="2"/>
    </row>
    <row r="15" customFormat="false" ht="32.25" hidden="false" customHeight="true" outlineLevel="0" collapsed="false">
      <c r="A15" s="17" t="s">
        <v>100</v>
      </c>
      <c r="B15" s="17" t="s">
        <v>130</v>
      </c>
      <c r="C15" s="76" t="s">
        <v>131</v>
      </c>
      <c r="D15" s="74" t="s">
        <v>108</v>
      </c>
      <c r="E15" s="77" t="n">
        <f aca="false">E13-E14</f>
        <v>50</v>
      </c>
      <c r="F15" s="77" t="n">
        <f aca="false">F13-F14</f>
        <v>100</v>
      </c>
      <c r="G15" s="77" t="n">
        <f aca="false">G13-G14</f>
        <v>200</v>
      </c>
      <c r="H15" s="77" t="n">
        <f aca="false">H13-H14</f>
        <v>100</v>
      </c>
      <c r="I15" s="77" t="n">
        <f aca="false">I13-I14</f>
        <v>150</v>
      </c>
      <c r="J15" s="77" t="n">
        <f aca="false">J13-J14</f>
        <v>250</v>
      </c>
      <c r="K15" s="77" t="n">
        <f aca="false">K13-K14</f>
        <v>150</v>
      </c>
      <c r="L15" s="77" t="n">
        <f aca="false">L13-L14</f>
        <v>200</v>
      </c>
      <c r="M15" s="77" t="n">
        <f aca="false">M13-M14</f>
        <v>350</v>
      </c>
      <c r="N15" s="78" t="n">
        <f aca="false">IF($B$2="Thận trọng",E15,IF($B$2="Cơ sở",H15,K15))</f>
        <v>100</v>
      </c>
      <c r="O15" s="78" t="n">
        <f aca="false">IF($B$2="Thận trọng",F15,IF($B$2="Cơ sở",I15,L15))</f>
        <v>150</v>
      </c>
      <c r="P15" s="78" t="n">
        <f aca="false">IF($B$2="Thận trọng",G15,IF($B$2="Cơ sở",J15,M15))</f>
        <v>250</v>
      </c>
      <c r="Q15" s="61" t="s">
        <v>114</v>
      </c>
      <c r="R15" s="62" t="s">
        <v>110</v>
      </c>
      <c r="S15" s="2"/>
      <c r="T15" s="2"/>
      <c r="U15" s="2"/>
      <c r="V15" s="2"/>
      <c r="W15" s="2"/>
      <c r="X15" s="2"/>
      <c r="Y15" s="2"/>
      <c r="Z15" s="2"/>
    </row>
    <row r="16" customFormat="false" ht="32.25" hidden="false" customHeight="true" outlineLevel="0" collapsed="false">
      <c r="A16" s="17" t="s">
        <v>100</v>
      </c>
      <c r="B16" s="17" t="s">
        <v>132</v>
      </c>
      <c r="C16" s="17" t="s">
        <v>133</v>
      </c>
      <c r="D16" s="17" t="s">
        <v>113</v>
      </c>
      <c r="E16" s="79" t="n">
        <v>0.915</v>
      </c>
      <c r="F16" s="80" t="n">
        <v>0.92</v>
      </c>
      <c r="G16" s="79" t="n">
        <v>0.925</v>
      </c>
      <c r="H16" s="81" t="n">
        <v>0.935</v>
      </c>
      <c r="I16" s="79" t="n">
        <v>0.942</v>
      </c>
      <c r="J16" s="80" t="n">
        <v>0.95</v>
      </c>
      <c r="K16" s="81" t="n">
        <v>0.952</v>
      </c>
      <c r="L16" s="81" t="n">
        <v>0.958</v>
      </c>
      <c r="M16" s="79" t="n">
        <v>0.965</v>
      </c>
      <c r="N16" s="72" t="n">
        <f aca="false">IF($B$2="Thận trọng",E16,IF($B$2="Cơ sở",H16,K16))</f>
        <v>0.935</v>
      </c>
      <c r="O16" s="72" t="n">
        <f aca="false">IF($B$2="Thận trọng",F16,IF($B$2="Cơ sở",I16,L16))</f>
        <v>0.942</v>
      </c>
      <c r="P16" s="72" t="n">
        <f aca="false">IF($B$2="Thận trọng",G16,IF($B$2="Cơ sở",J16,M16))</f>
        <v>0.95</v>
      </c>
      <c r="Q16" s="61" t="s">
        <v>114</v>
      </c>
      <c r="R16" s="62" t="s">
        <v>110</v>
      </c>
      <c r="S16" s="2"/>
      <c r="T16" s="2"/>
      <c r="U16" s="2"/>
      <c r="V16" s="2"/>
      <c r="W16" s="2"/>
      <c r="X16" s="2"/>
      <c r="Y16" s="2"/>
      <c r="Z16" s="2"/>
    </row>
    <row r="17" customFormat="false" ht="32.25" hidden="false" customHeight="true" outlineLevel="0" collapsed="false">
      <c r="A17" s="17" t="s">
        <v>100</v>
      </c>
      <c r="B17" s="17" t="s">
        <v>134</v>
      </c>
      <c r="C17" s="17" t="s">
        <v>135</v>
      </c>
      <c r="D17" s="17" t="s">
        <v>113</v>
      </c>
      <c r="E17" s="63" t="n">
        <f aca="false">100% - E16</f>
        <v>0.085</v>
      </c>
      <c r="F17" s="63" t="n">
        <f aca="false">100% - F16</f>
        <v>0.08</v>
      </c>
      <c r="G17" s="63" t="n">
        <f aca="false">100% - G16</f>
        <v>0.075</v>
      </c>
      <c r="H17" s="63" t="n">
        <f aca="false">100% - H16</f>
        <v>0.065</v>
      </c>
      <c r="I17" s="63" t="n">
        <f aca="false">100% - I16</f>
        <v>0.0580000000000001</v>
      </c>
      <c r="J17" s="63" t="n">
        <f aca="false">100% - J16</f>
        <v>0.05</v>
      </c>
      <c r="K17" s="63" t="n">
        <f aca="false">100% - K16</f>
        <v>0.048</v>
      </c>
      <c r="L17" s="63" t="n">
        <f aca="false">100% - L16</f>
        <v>0.042</v>
      </c>
      <c r="M17" s="63" t="n">
        <f aca="false">100% - M16</f>
        <v>0.035</v>
      </c>
      <c r="N17" s="64" t="n">
        <f aca="false">IF($B$2="Thận trọng",E17,IF($B$2="Cơ sở",H17,K17))</f>
        <v>0.065</v>
      </c>
      <c r="O17" s="64" t="n">
        <f aca="false">IF($B$2="Thận trọng",F17,IF($B$2="Cơ sở",I17,L17))</f>
        <v>0.0580000000000001</v>
      </c>
      <c r="P17" s="64" t="n">
        <f aca="false">IF($B$2="Thận trọng",G17,IF($B$2="Cơ sở",J17,M17))</f>
        <v>0.05</v>
      </c>
      <c r="Q17" s="61" t="s">
        <v>114</v>
      </c>
      <c r="R17" s="62" t="s">
        <v>110</v>
      </c>
      <c r="S17" s="2"/>
      <c r="T17" s="2"/>
      <c r="U17" s="2"/>
      <c r="V17" s="2"/>
      <c r="W17" s="2"/>
      <c r="X17" s="2"/>
      <c r="Y17" s="2"/>
      <c r="Z17" s="2"/>
    </row>
    <row r="18" customFormat="false" ht="32.25" hidden="false" customHeight="true" outlineLevel="0" collapsed="false">
      <c r="A18" s="17" t="s">
        <v>100</v>
      </c>
      <c r="B18" s="17" t="s">
        <v>136</v>
      </c>
      <c r="C18" s="17" t="s">
        <v>137</v>
      </c>
      <c r="D18" s="17" t="s">
        <v>113</v>
      </c>
      <c r="E18" s="81" t="n">
        <v>0.965</v>
      </c>
      <c r="F18" s="80" t="n">
        <v>0.97</v>
      </c>
      <c r="G18" s="81" t="n">
        <v>0.975</v>
      </c>
      <c r="H18" s="79" t="n">
        <v>0.982</v>
      </c>
      <c r="I18" s="79" t="n">
        <v>0.986</v>
      </c>
      <c r="J18" s="80" t="n">
        <v>0.99</v>
      </c>
      <c r="K18" s="79" t="n">
        <v>0.991</v>
      </c>
      <c r="L18" s="79" t="n">
        <v>0.993</v>
      </c>
      <c r="M18" s="81" t="n">
        <v>0.995</v>
      </c>
      <c r="N18" s="64" t="n">
        <f aca="false">IF($B$2="Thận trọng",E18,IF($B$2="Cơ sở",H18,K18))</f>
        <v>0.982</v>
      </c>
      <c r="O18" s="64" t="n">
        <f aca="false">IF($B$2="Thận trọng",F18,IF($B$2="Cơ sở",I18,L18))</f>
        <v>0.986</v>
      </c>
      <c r="P18" s="64" t="n">
        <f aca="false">IF($B$2="Thận trọng",G18,IF($B$2="Cơ sở",J18,M18))</f>
        <v>0.99</v>
      </c>
      <c r="Q18" s="61" t="s">
        <v>114</v>
      </c>
      <c r="R18" s="62" t="s">
        <v>110</v>
      </c>
      <c r="S18" s="2"/>
      <c r="T18" s="2"/>
      <c r="U18" s="2"/>
      <c r="V18" s="2"/>
      <c r="W18" s="2"/>
      <c r="X18" s="2"/>
      <c r="Y18" s="2"/>
      <c r="Z18" s="2"/>
    </row>
    <row r="19" customFormat="false" ht="32.25" hidden="false" customHeight="true" outlineLevel="0" collapsed="false">
      <c r="A19" s="17" t="s">
        <v>100</v>
      </c>
      <c r="B19" s="17" t="s">
        <v>138</v>
      </c>
      <c r="C19" s="17" t="s">
        <v>139</v>
      </c>
      <c r="D19" s="17" t="s">
        <v>113</v>
      </c>
      <c r="E19" s="80" t="n">
        <f aca="false">100% - E18</f>
        <v>0.035</v>
      </c>
      <c r="F19" s="80" t="n">
        <f aca="false">100% - F18</f>
        <v>0.03</v>
      </c>
      <c r="G19" s="80" t="n">
        <f aca="false">100% - G18</f>
        <v>0.025</v>
      </c>
      <c r="H19" s="80" t="n">
        <f aca="false">100% - H18</f>
        <v>0.018</v>
      </c>
      <c r="I19" s="81" t="n">
        <f aca="false">100% - I18</f>
        <v>0.014</v>
      </c>
      <c r="J19" s="81" t="n">
        <f aca="false">100% - J18</f>
        <v>0.01</v>
      </c>
      <c r="K19" s="79" t="n">
        <f aca="false">100% - K18</f>
        <v>0.00900000000000001</v>
      </c>
      <c r="L19" s="79" t="n">
        <f aca="false">100% - L18</f>
        <v>0.00700000000000001</v>
      </c>
      <c r="M19" s="79" t="n">
        <f aca="false">100% - M18</f>
        <v>0.005</v>
      </c>
      <c r="N19" s="64" t="n">
        <f aca="false">IF($B$2="Thận trọng",E19,IF($B$2="Cơ sở",H19,K19))</f>
        <v>0.018</v>
      </c>
      <c r="O19" s="64" t="n">
        <f aca="false">IF($B$2="Thận trọng",F19,IF($B$2="Cơ sở",I19,L19))</f>
        <v>0.014</v>
      </c>
      <c r="P19" s="64" t="n">
        <f aca="false">IF($B$2="Thận trọng",G19,IF($B$2="Cơ sở",J19,M19))</f>
        <v>0.01</v>
      </c>
      <c r="Q19" s="61" t="s">
        <v>114</v>
      </c>
      <c r="R19" s="62" t="s">
        <v>110</v>
      </c>
      <c r="S19" s="2"/>
      <c r="T19" s="2"/>
      <c r="U19" s="2"/>
      <c r="V19" s="2"/>
      <c r="W19" s="2"/>
      <c r="X19" s="2"/>
      <c r="Y19" s="2"/>
      <c r="Z19" s="2"/>
    </row>
    <row r="20" customFormat="false" ht="32.25" hidden="false" customHeight="true" outlineLevel="0" collapsed="false">
      <c r="A20" s="17" t="s">
        <v>100</v>
      </c>
      <c r="B20" s="17" t="s">
        <v>140</v>
      </c>
      <c r="C20" s="17" t="s">
        <v>141</v>
      </c>
      <c r="D20" s="17" t="s">
        <v>108</v>
      </c>
      <c r="E20" s="59" t="n">
        <f aca="false">E21+E22</f>
        <v>6000</v>
      </c>
      <c r="F20" s="59" t="n">
        <f aca="false">F21+F22</f>
        <v>6507.5</v>
      </c>
      <c r="G20" s="59" t="n">
        <f aca="false">G21+G22</f>
        <v>11455</v>
      </c>
      <c r="H20" s="59" t="n">
        <f aca="false">H21+H22</f>
        <v>14000</v>
      </c>
      <c r="I20" s="59" t="n">
        <f aca="false">I21+I22</f>
        <v>9405.3</v>
      </c>
      <c r="J20" s="59" t="n">
        <f aca="false">J21+J22</f>
        <v>17298.4</v>
      </c>
      <c r="K20" s="59" t="n">
        <f aca="false">K21+K22</f>
        <v>20000</v>
      </c>
      <c r="L20" s="59" t="n">
        <f aca="false">L21+L22</f>
        <v>15954.15</v>
      </c>
      <c r="M20" s="59" t="n">
        <f aca="false">M21+M22</f>
        <v>26463</v>
      </c>
      <c r="N20" s="60" t="n">
        <f aca="false">IF($B$2="Thận trọng",E20,IF($B$2="Cơ sở",H20,K20))</f>
        <v>14000</v>
      </c>
      <c r="O20" s="60" t="n">
        <f aca="false">IF($B$2="Thận trọng",F20,IF($B$2="Cơ sở",I20,L20))</f>
        <v>9405.3</v>
      </c>
      <c r="P20" s="60" t="n">
        <f aca="false">IF($B$2="Thận trọng",G20,IF($B$2="Cơ sở",J20,M20))</f>
        <v>17298.4</v>
      </c>
      <c r="Q20" s="61" t="s">
        <v>142</v>
      </c>
      <c r="R20" s="62" t="s">
        <v>110</v>
      </c>
      <c r="S20" s="2"/>
      <c r="T20" s="2"/>
      <c r="U20" s="2"/>
      <c r="V20" s="2"/>
      <c r="W20" s="2"/>
      <c r="X20" s="2"/>
      <c r="Y20" s="2"/>
      <c r="Z20" s="2"/>
    </row>
    <row r="21" customFormat="false" ht="32.25" hidden="false" customHeight="true" outlineLevel="0" collapsed="false">
      <c r="A21" s="17" t="s">
        <v>100</v>
      </c>
      <c r="B21" s="17" t="s">
        <v>143</v>
      </c>
      <c r="C21" s="17" t="s">
        <v>144</v>
      </c>
      <c r="D21" s="17" t="s">
        <v>108</v>
      </c>
      <c r="E21" s="59" t="n">
        <f aca="false">E14</f>
        <v>5950</v>
      </c>
      <c r="F21" s="59" t="n">
        <f aca="false">F14-E14*E16</f>
        <v>6455.75</v>
      </c>
      <c r="G21" s="59" t="n">
        <f aca="false">G14-F14*F16</f>
        <v>11352</v>
      </c>
      <c r="H21" s="59" t="n">
        <f aca="false">H14</f>
        <v>13900</v>
      </c>
      <c r="I21" s="59" t="n">
        <f aca="false">I14-H14*H16</f>
        <v>9353.5</v>
      </c>
      <c r="J21" s="59" t="n">
        <f aca="false">J14-I14*I16</f>
        <v>17196.3</v>
      </c>
      <c r="K21" s="59" t="n">
        <f aca="false">K14</f>
        <v>19850</v>
      </c>
      <c r="L21" s="59" t="n">
        <f aca="false">L14-K14*K16</f>
        <v>15902.8</v>
      </c>
      <c r="M21" s="59" t="n">
        <f aca="false">M14-L14*L16</f>
        <v>26311.6</v>
      </c>
      <c r="N21" s="60" t="n">
        <f aca="false">IF($B$2="Thận trọng",E21,IF($B$2="Cơ sở",H21,K21))</f>
        <v>13900</v>
      </c>
      <c r="O21" s="60" t="n">
        <f aca="false">IF($B$2="Thận trọng",F21,IF($B$2="Cơ sở",I21,L21))</f>
        <v>9353.5</v>
      </c>
      <c r="P21" s="60" t="n">
        <f aca="false">IF($B$2="Thận trọng",G21,IF($B$2="Cơ sở",J21,M21))</f>
        <v>17196.3</v>
      </c>
      <c r="Q21" s="61" t="s">
        <v>114</v>
      </c>
      <c r="R21" s="62" t="s">
        <v>110</v>
      </c>
      <c r="S21" s="2"/>
      <c r="T21" s="2"/>
      <c r="U21" s="2"/>
      <c r="V21" s="2"/>
      <c r="W21" s="2"/>
      <c r="X21" s="2"/>
      <c r="Y21" s="2"/>
      <c r="Z21" s="2"/>
    </row>
    <row r="22" customFormat="false" ht="32.25" hidden="false" customHeight="true" outlineLevel="0" collapsed="false">
      <c r="A22" s="17" t="s">
        <v>100</v>
      </c>
      <c r="B22" s="17" t="s">
        <v>145</v>
      </c>
      <c r="C22" s="17" t="s">
        <v>146</v>
      </c>
      <c r="D22" s="17" t="s">
        <v>108</v>
      </c>
      <c r="E22" s="59" t="n">
        <f aca="false">E15</f>
        <v>50</v>
      </c>
      <c r="F22" s="59" t="n">
        <f aca="false">F15-E15*E18</f>
        <v>51.75</v>
      </c>
      <c r="G22" s="59" t="n">
        <f aca="false">G15-F15*F18</f>
        <v>103</v>
      </c>
      <c r="H22" s="59" t="n">
        <f aca="false">H15</f>
        <v>100</v>
      </c>
      <c r="I22" s="59" t="n">
        <f aca="false">I15-H15*H18</f>
        <v>51.8</v>
      </c>
      <c r="J22" s="59" t="n">
        <f aca="false">J15-I15*I18</f>
        <v>102.1</v>
      </c>
      <c r="K22" s="59" t="n">
        <f aca="false">K15</f>
        <v>150</v>
      </c>
      <c r="L22" s="59" t="n">
        <f aca="false">L15-K15*K18</f>
        <v>51.35</v>
      </c>
      <c r="M22" s="59" t="n">
        <f aca="false">M15-L15*L18</f>
        <v>151.4</v>
      </c>
      <c r="N22" s="60" t="n">
        <f aca="false">IF($B$2="Thận trọng",E22,IF($B$2="Cơ sở",H22,K22))</f>
        <v>100</v>
      </c>
      <c r="O22" s="60" t="n">
        <f aca="false">IF($B$2="Thận trọng",F22,IF($B$2="Cơ sở",I22,L22))</f>
        <v>51.8</v>
      </c>
      <c r="P22" s="60" t="n">
        <f aca="false">IF($B$2="Thận trọng",G22,IF($B$2="Cơ sở",J22,M22))</f>
        <v>102.1</v>
      </c>
      <c r="Q22" s="61" t="s">
        <v>114</v>
      </c>
      <c r="R22" s="62" t="s">
        <v>110</v>
      </c>
      <c r="S22" s="2"/>
      <c r="T22" s="2"/>
      <c r="U22" s="2"/>
      <c r="V22" s="2"/>
      <c r="W22" s="2"/>
      <c r="X22" s="2"/>
      <c r="Y22" s="2"/>
      <c r="Z22" s="2"/>
    </row>
    <row r="23" customFormat="false" ht="32.25" hidden="false" customHeight="true" outlineLevel="0" collapsed="false">
      <c r="A23" s="17" t="s">
        <v>100</v>
      </c>
      <c r="B23" s="17" t="s">
        <v>147</v>
      </c>
      <c r="C23" s="17" t="s">
        <v>148</v>
      </c>
      <c r="D23" s="17" t="s">
        <v>149</v>
      </c>
      <c r="E23" s="59" t="n">
        <v>0.8</v>
      </c>
      <c r="F23" s="59" t="n">
        <v>1</v>
      </c>
      <c r="G23" s="59" t="n">
        <v>1.2</v>
      </c>
      <c r="H23" s="59" t="n">
        <v>1</v>
      </c>
      <c r="I23" s="59" t="n">
        <v>1.2</v>
      </c>
      <c r="J23" s="59" t="n">
        <v>1.5</v>
      </c>
      <c r="K23" s="59" t="n">
        <v>1.2</v>
      </c>
      <c r="L23" s="59" t="n">
        <v>1.5</v>
      </c>
      <c r="M23" s="59" t="n">
        <v>1.8</v>
      </c>
      <c r="N23" s="60" t="n">
        <f aca="false">IF($B$2="Thận trọng",E23,IF($B$2="Cơ sở",H23,K23))</f>
        <v>1</v>
      </c>
      <c r="O23" s="60" t="n">
        <f aca="false">IF($B$2="Thận trọng",F23,IF($B$2="Cơ sở",I23,L23))</f>
        <v>1.2</v>
      </c>
      <c r="P23" s="60" t="n">
        <f aca="false">IF($B$2="Thận trọng",G23,IF($B$2="Cơ sở",J23,M23))</f>
        <v>1.5</v>
      </c>
      <c r="Q23" s="61" t="s">
        <v>150</v>
      </c>
      <c r="R23" s="62" t="s">
        <v>110</v>
      </c>
      <c r="S23" s="2"/>
      <c r="T23" s="2"/>
      <c r="U23" s="2"/>
      <c r="V23" s="2"/>
      <c r="W23" s="2"/>
      <c r="X23" s="2"/>
      <c r="Y23" s="2"/>
      <c r="Z23" s="2"/>
    </row>
    <row r="24" customFormat="false" ht="19.5" hidden="false" customHeight="true" outlineLevel="0" collapsed="false">
      <c r="A24" s="56" t="s">
        <v>151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7"/>
      <c r="S24" s="58"/>
      <c r="T24" s="58"/>
      <c r="U24" s="58"/>
      <c r="V24" s="58"/>
      <c r="W24" s="58"/>
      <c r="X24" s="58"/>
      <c r="Y24" s="58"/>
      <c r="Z24" s="58"/>
    </row>
    <row r="25" customFormat="false" ht="32.25" hidden="false" customHeight="true" outlineLevel="0" collapsed="false">
      <c r="A25" s="17" t="s">
        <v>152</v>
      </c>
      <c r="B25" s="17" t="s">
        <v>153</v>
      </c>
      <c r="C25" s="17" t="s">
        <v>154</v>
      </c>
      <c r="D25" s="17" t="s">
        <v>155</v>
      </c>
      <c r="E25" s="59" t="n">
        <v>1</v>
      </c>
      <c r="F25" s="59" t="n">
        <v>3</v>
      </c>
      <c r="G25" s="59" t="n">
        <v>6</v>
      </c>
      <c r="H25" s="59" t="n">
        <v>2</v>
      </c>
      <c r="I25" s="59" t="n">
        <v>5</v>
      </c>
      <c r="J25" s="59" t="n">
        <v>10</v>
      </c>
      <c r="K25" s="59" t="n">
        <v>3</v>
      </c>
      <c r="L25" s="59" t="n">
        <v>8</v>
      </c>
      <c r="M25" s="59" t="n">
        <v>15</v>
      </c>
      <c r="N25" s="60" t="n">
        <f aca="false">IF($B$2="Thận trọng",E25,IF($B$2="Cơ sở",H25,K25))</f>
        <v>2</v>
      </c>
      <c r="O25" s="60" t="n">
        <f aca="false">IF($B$2="Thận trọng",F25,IF($B$2="Cơ sở",I25,L25))</f>
        <v>5</v>
      </c>
      <c r="P25" s="60" t="n">
        <f aca="false">IF($B$2="Thận trọng",G25,IF($B$2="Cơ sở",J25,M25))</f>
        <v>10</v>
      </c>
      <c r="Q25" s="61" t="s">
        <v>156</v>
      </c>
      <c r="R25" s="62" t="s">
        <v>110</v>
      </c>
      <c r="S25" s="2"/>
      <c r="T25" s="2"/>
      <c r="U25" s="2"/>
      <c r="V25" s="2"/>
      <c r="W25" s="2"/>
      <c r="X25" s="2"/>
      <c r="Y25" s="2"/>
      <c r="Z25" s="2"/>
    </row>
    <row r="26" customFormat="false" ht="32.25" hidden="false" customHeight="true" outlineLevel="0" collapsed="false">
      <c r="A26" s="17" t="s">
        <v>152</v>
      </c>
      <c r="B26" s="17" t="s">
        <v>157</v>
      </c>
      <c r="C26" s="17" t="s">
        <v>158</v>
      </c>
      <c r="D26" s="17" t="s">
        <v>155</v>
      </c>
      <c r="E26" s="59" t="n">
        <v>3</v>
      </c>
      <c r="F26" s="59" t="n">
        <v>10</v>
      </c>
      <c r="G26" s="59" t="n">
        <v>15</v>
      </c>
      <c r="H26" s="59" t="n">
        <v>5</v>
      </c>
      <c r="I26" s="59" t="n">
        <v>15</v>
      </c>
      <c r="J26" s="59" t="n">
        <v>30</v>
      </c>
      <c r="K26" s="59" t="n">
        <v>8</v>
      </c>
      <c r="L26" s="59" t="n">
        <v>22</v>
      </c>
      <c r="M26" s="59" t="n">
        <v>40</v>
      </c>
      <c r="N26" s="60" t="n">
        <f aca="false">IF($B$2="Thận trọng",E26,IF($B$2="Cơ sở",H26,K26))</f>
        <v>5</v>
      </c>
      <c r="O26" s="60" t="n">
        <f aca="false">IF($B$2="Thận trọng",F26,IF($B$2="Cơ sở",I26,L26))</f>
        <v>15</v>
      </c>
      <c r="P26" s="60" t="n">
        <f aca="false">IF($B$2="Thận trọng",G26,IF($B$2="Cơ sở",J26,M26))</f>
        <v>30</v>
      </c>
      <c r="Q26" s="61" t="s">
        <v>159</v>
      </c>
      <c r="R26" s="62" t="s">
        <v>110</v>
      </c>
      <c r="S26" s="2"/>
      <c r="T26" s="2"/>
      <c r="U26" s="2"/>
      <c r="V26" s="2"/>
      <c r="W26" s="2"/>
      <c r="X26" s="2"/>
      <c r="Y26" s="2"/>
      <c r="Z26" s="2"/>
    </row>
    <row r="27" customFormat="false" ht="17.25" hidden="false" customHeight="true" outlineLevel="0" collapsed="false">
      <c r="A27" s="17" t="s">
        <v>152</v>
      </c>
      <c r="B27" s="17" t="s">
        <v>160</v>
      </c>
      <c r="C27" s="82" t="s">
        <v>161</v>
      </c>
      <c r="D27" s="17" t="s">
        <v>155</v>
      </c>
      <c r="E27" s="59" t="n">
        <v>1</v>
      </c>
      <c r="F27" s="59" t="n">
        <v>2</v>
      </c>
      <c r="G27" s="59" t="n">
        <v>3</v>
      </c>
      <c r="H27" s="59" t="n">
        <v>2</v>
      </c>
      <c r="I27" s="59" t="n">
        <v>3</v>
      </c>
      <c r="J27" s="59" t="n">
        <v>5</v>
      </c>
      <c r="K27" s="59" t="n">
        <v>3</v>
      </c>
      <c r="L27" s="59" t="n">
        <v>5</v>
      </c>
      <c r="M27" s="59" t="n">
        <v>7</v>
      </c>
      <c r="N27" s="60" t="n">
        <f aca="false">IF($B$2="Thận trọng",E27,IF($B$2="Cơ sở",H27,K27))</f>
        <v>2</v>
      </c>
      <c r="O27" s="60" t="n">
        <f aca="false">IF($B$2="Thận trọng",F27,IF($B$2="Cơ sở",I27,L27))</f>
        <v>3</v>
      </c>
      <c r="P27" s="60" t="n">
        <f aca="false">IF($B$2="Thận trọng",G27,IF($B$2="Cơ sở",J27,M27))</f>
        <v>5</v>
      </c>
      <c r="Q27" s="61" t="s">
        <v>162</v>
      </c>
      <c r="R27" s="62" t="s">
        <v>110</v>
      </c>
      <c r="S27" s="2"/>
      <c r="T27" s="2"/>
      <c r="U27" s="2"/>
      <c r="V27" s="2"/>
      <c r="W27" s="2"/>
      <c r="X27" s="2"/>
      <c r="Y27" s="2"/>
      <c r="Z27" s="2"/>
    </row>
    <row r="28" customFormat="false" ht="17.25" hidden="false" customHeight="true" outlineLevel="0" collapsed="false">
      <c r="A28" s="17" t="s">
        <v>152</v>
      </c>
      <c r="B28" s="17" t="s">
        <v>163</v>
      </c>
      <c r="C28" s="82" t="s">
        <v>164</v>
      </c>
      <c r="D28" s="17" t="s">
        <v>155</v>
      </c>
      <c r="E28" s="59" t="n">
        <v>3</v>
      </c>
      <c r="F28" s="59" t="n">
        <v>7</v>
      </c>
      <c r="G28" s="59" t="n">
        <v>12</v>
      </c>
      <c r="H28" s="59" t="n">
        <v>5</v>
      </c>
      <c r="I28" s="59" t="n">
        <v>10</v>
      </c>
      <c r="J28" s="59" t="n">
        <v>20</v>
      </c>
      <c r="K28" s="59" t="n">
        <v>8</v>
      </c>
      <c r="L28" s="59" t="n">
        <v>14</v>
      </c>
      <c r="M28" s="59" t="n">
        <v>28</v>
      </c>
      <c r="N28" s="60" t="n">
        <f aca="false">IF($B$2="Thận trọng",E28,IF($B$2="Cơ sở",H28,K28))</f>
        <v>5</v>
      </c>
      <c r="O28" s="60" t="n">
        <f aca="false">IF($B$2="Thận trọng",F28,IF($B$2="Cơ sở",I28,L28))</f>
        <v>10</v>
      </c>
      <c r="P28" s="60" t="n">
        <f aca="false">IF($B$2="Thận trọng",G28,IF($B$2="Cơ sở",J28,M28))</f>
        <v>20</v>
      </c>
      <c r="Q28" s="61" t="s">
        <v>162</v>
      </c>
      <c r="R28" s="62" t="s">
        <v>110</v>
      </c>
      <c r="S28" s="2"/>
      <c r="T28" s="2"/>
      <c r="U28" s="2"/>
      <c r="V28" s="2"/>
      <c r="W28" s="2"/>
      <c r="X28" s="2"/>
      <c r="Y28" s="2"/>
      <c r="Z28" s="2"/>
    </row>
    <row r="29" customFormat="false" ht="17.25" hidden="false" customHeight="true" outlineLevel="0" collapsed="false">
      <c r="A29" s="17" t="s">
        <v>152</v>
      </c>
      <c r="B29" s="17" t="s">
        <v>165</v>
      </c>
      <c r="C29" s="17" t="s">
        <v>166</v>
      </c>
      <c r="D29" s="17" t="s">
        <v>155</v>
      </c>
      <c r="E29" s="59" t="n">
        <f aca="false">SUM(E27+E28)</f>
        <v>4</v>
      </c>
      <c r="F29" s="59" t="n">
        <f aca="false">SUM(F27+F28)</f>
        <v>9</v>
      </c>
      <c r="G29" s="59" t="n">
        <f aca="false">SUM(G27+G28)</f>
        <v>15</v>
      </c>
      <c r="H29" s="59" t="n">
        <f aca="false">SUM(H27+H28)</f>
        <v>7</v>
      </c>
      <c r="I29" s="59" t="n">
        <f aca="false">SUM(I27+I28)</f>
        <v>13</v>
      </c>
      <c r="J29" s="59" t="n">
        <f aca="false">SUM(J27+J28)</f>
        <v>25</v>
      </c>
      <c r="K29" s="59" t="n">
        <f aca="false">SUM(K27+K28)</f>
        <v>11</v>
      </c>
      <c r="L29" s="59" t="n">
        <f aca="false">SUM(L27+L28)</f>
        <v>19</v>
      </c>
      <c r="M29" s="59" t="n">
        <f aca="false">SUM(M27+M28)</f>
        <v>35</v>
      </c>
      <c r="N29" s="60" t="n">
        <f aca="false">IF($B$2="Thận trọng",E29,IF($B$2="Cơ sở",H29,K29))</f>
        <v>7</v>
      </c>
      <c r="O29" s="60" t="n">
        <f aca="false">IF($B$2="Thận trọng",F29,IF($B$2="Cơ sở",I29,L29))</f>
        <v>13</v>
      </c>
      <c r="P29" s="60" t="n">
        <f aca="false">IF($B$2="Thận trọng",G29,IF($B$2="Cơ sở",J29,M29))</f>
        <v>25</v>
      </c>
      <c r="Q29" s="61" t="s">
        <v>167</v>
      </c>
      <c r="R29" s="62" t="s">
        <v>110</v>
      </c>
      <c r="S29" s="2"/>
      <c r="T29" s="2"/>
      <c r="U29" s="2"/>
      <c r="V29" s="2"/>
      <c r="W29" s="2"/>
      <c r="X29" s="2"/>
      <c r="Y29" s="2"/>
      <c r="Z29" s="2"/>
    </row>
    <row r="30" customFormat="false" ht="32.25" hidden="false" customHeight="true" outlineLevel="0" collapsed="false">
      <c r="A30" s="17" t="s">
        <v>152</v>
      </c>
      <c r="B30" s="17" t="s">
        <v>168</v>
      </c>
      <c r="C30" s="17" t="s">
        <v>169</v>
      </c>
      <c r="D30" s="17" t="s">
        <v>113</v>
      </c>
      <c r="E30" s="63" t="n">
        <v>0.5</v>
      </c>
      <c r="F30" s="63" t="n">
        <v>0.5</v>
      </c>
      <c r="G30" s="63" t="n">
        <v>0.5</v>
      </c>
      <c r="H30" s="63" t="n">
        <v>0.5</v>
      </c>
      <c r="I30" s="63" t="n">
        <v>0.5</v>
      </c>
      <c r="J30" s="63" t="n">
        <v>0.5</v>
      </c>
      <c r="K30" s="63" t="n">
        <v>0.5</v>
      </c>
      <c r="L30" s="63" t="n">
        <v>0.5</v>
      </c>
      <c r="M30" s="63" t="n">
        <v>0.5</v>
      </c>
      <c r="N30" s="64" t="n">
        <f aca="false">IF($B$2="Thận trọng",E30,IF($B$2="Cơ sở",H30,K30))</f>
        <v>0.5</v>
      </c>
      <c r="O30" s="64" t="n">
        <f aca="false">IF($B$2="Thận trọng",F30,IF($B$2="Cơ sở",I30,L30))</f>
        <v>0.5</v>
      </c>
      <c r="P30" s="64" t="n">
        <f aca="false">IF($B$2="Thận trọng",G30,IF($B$2="Cơ sở",J30,M30))</f>
        <v>0.5</v>
      </c>
      <c r="Q30" s="61" t="s">
        <v>170</v>
      </c>
      <c r="R30" s="62" t="s">
        <v>110</v>
      </c>
      <c r="S30" s="2"/>
      <c r="T30" s="2"/>
      <c r="U30" s="2"/>
      <c r="V30" s="2"/>
      <c r="W30" s="2"/>
      <c r="X30" s="2"/>
      <c r="Y30" s="2"/>
      <c r="Z30" s="2"/>
    </row>
    <row r="31" customFormat="false" ht="32.25" hidden="false" customHeight="true" outlineLevel="0" collapsed="false">
      <c r="A31" s="17" t="s">
        <v>152</v>
      </c>
      <c r="B31" s="17" t="s">
        <v>171</v>
      </c>
      <c r="C31" s="17" t="s">
        <v>172</v>
      </c>
      <c r="D31" s="17" t="s">
        <v>108</v>
      </c>
      <c r="E31" s="59" t="n">
        <v>3000</v>
      </c>
      <c r="F31" s="59" t="n">
        <v>4000</v>
      </c>
      <c r="G31" s="59" t="n">
        <v>5000</v>
      </c>
      <c r="H31" s="59" t="n">
        <v>4000</v>
      </c>
      <c r="I31" s="59" t="n">
        <v>5000</v>
      </c>
      <c r="J31" s="59" t="n">
        <v>6000</v>
      </c>
      <c r="K31" s="59" t="n">
        <v>5000</v>
      </c>
      <c r="L31" s="59" t="n">
        <v>6500</v>
      </c>
      <c r="M31" s="59" t="n">
        <v>8000</v>
      </c>
      <c r="N31" s="60" t="n">
        <f aca="false">IF($B$2="Thận trọng",E31,IF($B$2="Cơ sở",H31,K31))</f>
        <v>4000</v>
      </c>
      <c r="O31" s="60" t="n">
        <f aca="false">IF($B$2="Thận trọng",F31,IF($B$2="Cơ sở",I31,L31))</f>
        <v>5000</v>
      </c>
      <c r="P31" s="60" t="n">
        <f aca="false">IF($B$2="Thận trọng",G31,IF($B$2="Cơ sở",J31,M31))</f>
        <v>6000</v>
      </c>
      <c r="Q31" s="61" t="s">
        <v>173</v>
      </c>
      <c r="R31" s="62" t="s">
        <v>174</v>
      </c>
      <c r="S31" s="2"/>
      <c r="T31" s="2"/>
      <c r="U31" s="2"/>
      <c r="V31" s="2"/>
      <c r="W31" s="2"/>
      <c r="X31" s="2"/>
      <c r="Y31" s="2"/>
      <c r="Z31" s="2"/>
    </row>
    <row r="32" customFormat="false" ht="17.25" hidden="false" customHeight="true" outlineLevel="0" collapsed="false">
      <c r="A32" s="17" t="s">
        <v>152</v>
      </c>
      <c r="B32" s="17" t="s">
        <v>175</v>
      </c>
      <c r="C32" s="17" t="s">
        <v>176</v>
      </c>
      <c r="D32" s="17" t="s">
        <v>108</v>
      </c>
      <c r="E32" s="59" t="n">
        <v>300</v>
      </c>
      <c r="F32" s="59" t="n">
        <v>400</v>
      </c>
      <c r="G32" s="59" t="n">
        <v>500</v>
      </c>
      <c r="H32" s="59" t="n">
        <v>400</v>
      </c>
      <c r="I32" s="59" t="n">
        <v>600</v>
      </c>
      <c r="J32" s="59" t="n">
        <v>800</v>
      </c>
      <c r="K32" s="59" t="n">
        <v>500</v>
      </c>
      <c r="L32" s="59" t="n">
        <v>800</v>
      </c>
      <c r="M32" s="59" t="n">
        <v>1000</v>
      </c>
      <c r="N32" s="60" t="n">
        <f aca="false">IF($B$2="Thận trọng",E32,IF($B$2="Cơ sở",H32,K32))</f>
        <v>400</v>
      </c>
      <c r="O32" s="60" t="n">
        <f aca="false">IF($B$2="Thận trọng",F32,IF($B$2="Cơ sở",I32,L32))</f>
        <v>600</v>
      </c>
      <c r="P32" s="60" t="n">
        <f aca="false">IF($B$2="Thận trọng",G32,IF($B$2="Cơ sở",J32,M32))</f>
        <v>800</v>
      </c>
      <c r="Q32" s="61" t="s">
        <v>177</v>
      </c>
      <c r="R32" s="62" t="s">
        <v>110</v>
      </c>
      <c r="S32" s="2"/>
      <c r="T32" s="2"/>
      <c r="U32" s="2"/>
      <c r="V32" s="2"/>
      <c r="W32" s="2"/>
      <c r="X32" s="2"/>
      <c r="Y32" s="2"/>
      <c r="Z32" s="2"/>
    </row>
    <row r="33" customFormat="false" ht="17.25" hidden="false" customHeight="true" outlineLevel="0" collapsed="false">
      <c r="A33" s="17" t="s">
        <v>152</v>
      </c>
      <c r="B33" s="17" t="s">
        <v>178</v>
      </c>
      <c r="C33" s="17" t="s">
        <v>179</v>
      </c>
      <c r="D33" s="17" t="s">
        <v>113</v>
      </c>
      <c r="E33" s="63" t="n">
        <v>0.8</v>
      </c>
      <c r="F33" s="63" t="n">
        <v>0.85</v>
      </c>
      <c r="G33" s="63" t="n">
        <v>0.88</v>
      </c>
      <c r="H33" s="63" t="n">
        <v>0.85</v>
      </c>
      <c r="I33" s="63" t="n">
        <v>0.88</v>
      </c>
      <c r="J33" s="63" t="n">
        <v>0.9</v>
      </c>
      <c r="K33" s="63" t="n">
        <v>0.88</v>
      </c>
      <c r="L33" s="63" t="n">
        <v>0.92</v>
      </c>
      <c r="M33" s="63" t="n">
        <v>0.94</v>
      </c>
      <c r="N33" s="64" t="n">
        <f aca="false">IF($B$2="Thận trọng",E33,IF($B$2="Cơ sở",H33,K33))</f>
        <v>0.85</v>
      </c>
      <c r="O33" s="64" t="n">
        <f aca="false">IF($B$2="Thận trọng",F33,IF($B$2="Cơ sở",I33,L33))</f>
        <v>0.88</v>
      </c>
      <c r="P33" s="64" t="n">
        <f aca="false">IF($B$2="Thận trọng",G33,IF($B$2="Cơ sở",J33,M33))</f>
        <v>0.9</v>
      </c>
      <c r="Q33" s="61" t="s">
        <v>177</v>
      </c>
      <c r="R33" s="62" t="s">
        <v>110</v>
      </c>
      <c r="S33" s="2"/>
      <c r="T33" s="2"/>
      <c r="U33" s="2"/>
      <c r="V33" s="2"/>
      <c r="W33" s="2"/>
      <c r="X33" s="2"/>
      <c r="Y33" s="2"/>
      <c r="Z33" s="2"/>
    </row>
    <row r="34" customFormat="false" ht="19.5" hidden="false" customHeight="true" outlineLevel="0" collapsed="false">
      <c r="A34" s="56" t="s">
        <v>180</v>
      </c>
      <c r="B34" s="56"/>
      <c r="C34" s="56" t="s">
        <v>181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7"/>
      <c r="S34" s="58"/>
      <c r="T34" s="58"/>
      <c r="U34" s="58"/>
      <c r="V34" s="58"/>
      <c r="W34" s="58"/>
      <c r="X34" s="58"/>
      <c r="Y34" s="58"/>
      <c r="Z34" s="58"/>
    </row>
    <row r="35" customFormat="false" ht="48" hidden="false" customHeight="true" outlineLevel="0" collapsed="false">
      <c r="A35" s="17" t="s">
        <v>182</v>
      </c>
      <c r="B35" s="17" t="s">
        <v>183</v>
      </c>
      <c r="C35" s="83" t="s">
        <v>184</v>
      </c>
      <c r="D35" s="17" t="s">
        <v>185</v>
      </c>
      <c r="E35" s="84" t="n">
        <v>29000</v>
      </c>
      <c r="F35" s="84" t="n">
        <f aca="false">E35*(1+10.47%)</f>
        <v>32036.3</v>
      </c>
      <c r="G35" s="84" t="n">
        <f aca="false">E35*(1+10.47%)</f>
        <v>32036.3</v>
      </c>
      <c r="H35" s="84" t="n">
        <v>39000</v>
      </c>
      <c r="I35" s="84" t="n">
        <f aca="false">H35*(1+10.47%)</f>
        <v>43083.3</v>
      </c>
      <c r="J35" s="84" t="n">
        <f aca="false">H35*(1+10.47%)^2</f>
        <v>47594.12151</v>
      </c>
      <c r="K35" s="84" t="n">
        <v>49000</v>
      </c>
      <c r="L35" s="84" t="n">
        <f aca="false">K35*(1+10.47%)</f>
        <v>54130.3</v>
      </c>
      <c r="M35" s="84" t="n">
        <f aca="false">K35*(1+10.47%)^2</f>
        <v>59797.74241</v>
      </c>
      <c r="N35" s="85" t="n">
        <f aca="false">IF($B$2="Thận trọng",E35,IF($B$2="Cơ sở",H35,K35))</f>
        <v>39000</v>
      </c>
      <c r="O35" s="85" t="n">
        <f aca="false">IF($B$2="Thận trọng",F35,IF($B$2="Cơ sở",I35,L35))</f>
        <v>43083.3</v>
      </c>
      <c r="P35" s="85" t="n">
        <f aca="false">IF($B$2="Thận trọng",G35,IF($B$2="Cơ sở",J35,M35))</f>
        <v>47594.12151</v>
      </c>
      <c r="Q35" s="61" t="s">
        <v>186</v>
      </c>
      <c r="R35" s="62" t="s">
        <v>187</v>
      </c>
      <c r="S35" s="2"/>
      <c r="T35" s="2"/>
      <c r="U35" s="2"/>
      <c r="V35" s="2"/>
      <c r="W35" s="2"/>
      <c r="X35" s="2"/>
      <c r="Y35" s="2"/>
      <c r="Z35" s="2"/>
    </row>
    <row r="36" customFormat="false" ht="32.25" hidden="false" customHeight="true" outlineLevel="0" collapsed="false">
      <c r="A36" s="17" t="s">
        <v>182</v>
      </c>
      <c r="B36" s="17" t="s">
        <v>188</v>
      </c>
      <c r="C36" s="83" t="s">
        <v>189</v>
      </c>
      <c r="D36" s="17" t="s">
        <v>190</v>
      </c>
      <c r="E36" s="84" t="n">
        <v>299000</v>
      </c>
      <c r="F36" s="84" t="n">
        <f aca="false">E36*(1+10%)</f>
        <v>328900</v>
      </c>
      <c r="G36" s="84" t="n">
        <f aca="false">E36*(1+10%)^2</f>
        <v>361790</v>
      </c>
      <c r="H36" s="84" t="n">
        <v>399000</v>
      </c>
      <c r="I36" s="84" t="n">
        <f aca="false">H36*(1+10%)</f>
        <v>438900</v>
      </c>
      <c r="J36" s="84" t="n">
        <f aca="false">H36*(1+10%)^2</f>
        <v>482790</v>
      </c>
      <c r="K36" s="84" t="n">
        <v>499000</v>
      </c>
      <c r="L36" s="84" t="n">
        <f aca="false">K36*(1+10%)</f>
        <v>548900</v>
      </c>
      <c r="M36" s="84" t="n">
        <f aca="false">K36*(1+10%)^2</f>
        <v>603790</v>
      </c>
      <c r="N36" s="85" t="n">
        <f aca="false">IF($B$2="Thận trọng",E36,IF($B$2="Cơ sở",H36,K36))</f>
        <v>399000</v>
      </c>
      <c r="O36" s="85" t="n">
        <f aca="false">IF($B$2="Thận trọng",F36,IF($B$2="Cơ sở",I36,L36))</f>
        <v>438900</v>
      </c>
      <c r="P36" s="85" t="n">
        <f aca="false">IF($B$2="Thận trọng",G36,IF($B$2="Cơ sở",J36,M36))</f>
        <v>482790</v>
      </c>
      <c r="Q36" s="61" t="s">
        <v>191</v>
      </c>
      <c r="R36" s="62" t="s">
        <v>110</v>
      </c>
      <c r="S36" s="2"/>
      <c r="T36" s="2"/>
      <c r="U36" s="2"/>
      <c r="V36" s="2"/>
      <c r="W36" s="2"/>
      <c r="X36" s="2"/>
      <c r="Y36" s="2"/>
      <c r="Z36" s="2"/>
    </row>
    <row r="37" customFormat="false" ht="32.25" hidden="false" customHeight="true" outlineLevel="0" collapsed="false">
      <c r="A37" s="17" t="s">
        <v>182</v>
      </c>
      <c r="B37" s="17" t="s">
        <v>192</v>
      </c>
      <c r="C37" s="83" t="s">
        <v>193</v>
      </c>
      <c r="D37" s="17" t="s">
        <v>185</v>
      </c>
      <c r="E37" s="84" t="n">
        <v>799000</v>
      </c>
      <c r="F37" s="84" t="n">
        <f aca="false">E37*(1+10.47%)^12</f>
        <v>2639240.86728595</v>
      </c>
      <c r="G37" s="84" t="n">
        <f aca="false">E37*(1+10.47%)^24</f>
        <v>8717887.80419563</v>
      </c>
      <c r="H37" s="84" t="n">
        <v>899000</v>
      </c>
      <c r="I37" s="84" t="n">
        <f aca="false">H37*(1+10.47%)</f>
        <v>993125.3</v>
      </c>
      <c r="J37" s="84" t="n">
        <f aca="false">H37*(1+10.47%)^2</f>
        <v>1097105.51891</v>
      </c>
      <c r="K37" s="84" t="n">
        <v>999000</v>
      </c>
      <c r="L37" s="84" t="n">
        <f aca="false">K37*(1+10.47%)</f>
        <v>1103595.3</v>
      </c>
      <c r="M37" s="84" t="n">
        <f aca="false">K37*(1+10.47%)^2</f>
        <v>1219141.72791</v>
      </c>
      <c r="N37" s="85" t="n">
        <f aca="false">IF($B$2="Thận trọng",E37,IF($B$2="Cơ sở",H37,K37))</f>
        <v>899000</v>
      </c>
      <c r="O37" s="85" t="n">
        <f aca="false">IF($B$2="Thận trọng",F37,IF($B$2="Cơ sở",I37,L37))</f>
        <v>993125.3</v>
      </c>
      <c r="P37" s="85" t="n">
        <f aca="false">IF($B$2="Thận trọng",G37,IF($B$2="Cơ sở",J37,M37))</f>
        <v>1097105.51891</v>
      </c>
      <c r="Q37" s="61" t="s">
        <v>191</v>
      </c>
      <c r="R37" s="62" t="s">
        <v>110</v>
      </c>
      <c r="S37" s="2"/>
      <c r="T37" s="2"/>
      <c r="U37" s="2"/>
      <c r="V37" s="2"/>
      <c r="W37" s="2"/>
      <c r="X37" s="2"/>
      <c r="Y37" s="2"/>
      <c r="Z37" s="2"/>
    </row>
    <row r="38" customFormat="false" ht="32.25" hidden="false" customHeight="true" outlineLevel="0" collapsed="false">
      <c r="A38" s="17" t="s">
        <v>182</v>
      </c>
      <c r="B38" s="17" t="s">
        <v>192</v>
      </c>
      <c r="C38" s="83" t="s">
        <v>194</v>
      </c>
      <c r="D38" s="17" t="s">
        <v>185</v>
      </c>
      <c r="E38" s="84" t="n">
        <v>7900000</v>
      </c>
      <c r="F38" s="84" t="n">
        <f aca="false">E38*(1+10%)</f>
        <v>8690000</v>
      </c>
      <c r="G38" s="84" t="n">
        <f aca="false">E38*(1+10%)^2</f>
        <v>9559000</v>
      </c>
      <c r="H38" s="84" t="n">
        <v>8900000</v>
      </c>
      <c r="I38" s="84" t="n">
        <f aca="false">H38*(1+10%)</f>
        <v>9790000</v>
      </c>
      <c r="J38" s="84" t="n">
        <f aca="false">H38*(1+10%)^2</f>
        <v>10769000</v>
      </c>
      <c r="K38" s="84" t="n">
        <v>9900000</v>
      </c>
      <c r="L38" s="84" t="n">
        <f aca="false">K38*(1+10%)</f>
        <v>10890000</v>
      </c>
      <c r="M38" s="84" t="n">
        <f aca="false">K38*(1+10%)^2</f>
        <v>11979000</v>
      </c>
      <c r="N38" s="85" t="n">
        <f aca="false">IF($B$2="Thận trọng",E38,IF($B$2="Cơ sở",H38,K38))</f>
        <v>8900000</v>
      </c>
      <c r="O38" s="85" t="n">
        <f aca="false">IF($B$2="Thận trọng",F38,IF($B$2="Cơ sở",I38,L38))</f>
        <v>9790000</v>
      </c>
      <c r="P38" s="85" t="n">
        <f aca="false">IF($B$2="Thận trọng",G38,IF($B$2="Cơ sở",J38,M38))</f>
        <v>10769000</v>
      </c>
      <c r="Q38" s="61" t="s">
        <v>191</v>
      </c>
      <c r="R38" s="62" t="s">
        <v>110</v>
      </c>
      <c r="S38" s="2"/>
      <c r="T38" s="2"/>
      <c r="U38" s="2"/>
      <c r="V38" s="2"/>
      <c r="W38" s="2"/>
      <c r="X38" s="2"/>
      <c r="Y38" s="2"/>
      <c r="Z38" s="2"/>
    </row>
    <row r="39" customFormat="false" ht="32.25" hidden="false" customHeight="true" outlineLevel="0" collapsed="false">
      <c r="A39" s="17" t="s">
        <v>182</v>
      </c>
      <c r="B39" s="17" t="s">
        <v>195</v>
      </c>
      <c r="C39" s="17" t="s">
        <v>196</v>
      </c>
      <c r="D39" s="17" t="s">
        <v>197</v>
      </c>
      <c r="E39" s="84" t="n">
        <v>27000000</v>
      </c>
      <c r="F39" s="84" t="n">
        <v>27000000</v>
      </c>
      <c r="G39" s="84" t="n">
        <v>27000000</v>
      </c>
      <c r="H39" s="84" t="n">
        <v>30000000</v>
      </c>
      <c r="I39" s="84" t="n">
        <v>30000000</v>
      </c>
      <c r="J39" s="84" t="n">
        <v>30000000</v>
      </c>
      <c r="K39" s="84" t="n">
        <v>33000000</v>
      </c>
      <c r="L39" s="84" t="n">
        <v>33000000</v>
      </c>
      <c r="M39" s="84" t="n">
        <v>33000000</v>
      </c>
      <c r="N39" s="85" t="n">
        <f aca="false">IF($B$2="Thận trọng",E39,IF($B$2="Cơ sở",H39,K39))</f>
        <v>30000000</v>
      </c>
      <c r="O39" s="85" t="n">
        <f aca="false">IF($B$2="Thận trọng",F39,IF($B$2="Cơ sở",I39,L39))</f>
        <v>30000000</v>
      </c>
      <c r="P39" s="85" t="n">
        <f aca="false">IF($B$2="Thận trọng",G39,IF($B$2="Cơ sở",J39,M39))</f>
        <v>30000000</v>
      </c>
      <c r="Q39" s="61" t="s">
        <v>191</v>
      </c>
      <c r="R39" s="62" t="s">
        <v>110</v>
      </c>
      <c r="S39" s="2"/>
      <c r="T39" s="2"/>
      <c r="U39" s="2"/>
      <c r="V39" s="2"/>
      <c r="W39" s="2"/>
      <c r="X39" s="2"/>
      <c r="Y39" s="2"/>
      <c r="Z39" s="2"/>
    </row>
    <row r="40" customFormat="false" ht="32.25" hidden="false" customHeight="true" outlineLevel="0" collapsed="false">
      <c r="A40" s="17" t="s">
        <v>182</v>
      </c>
      <c r="B40" s="17" t="s">
        <v>198</v>
      </c>
      <c r="C40" s="17" t="s">
        <v>199</v>
      </c>
      <c r="D40" s="17" t="s">
        <v>197</v>
      </c>
      <c r="E40" s="84" t="n">
        <v>9000000</v>
      </c>
      <c r="F40" s="84" t="n">
        <v>9000000</v>
      </c>
      <c r="G40" s="84" t="n">
        <v>9000000</v>
      </c>
      <c r="H40" s="84" t="n">
        <v>10000000</v>
      </c>
      <c r="I40" s="84" t="n">
        <v>10000000</v>
      </c>
      <c r="J40" s="84" t="n">
        <v>10000000</v>
      </c>
      <c r="K40" s="84" t="n">
        <v>11000000</v>
      </c>
      <c r="L40" s="84" t="n">
        <v>11000000</v>
      </c>
      <c r="M40" s="84" t="n">
        <v>11000000</v>
      </c>
      <c r="N40" s="85" t="n">
        <f aca="false">IF($B$2="Thận trọng",E40,IF($B$2="Cơ sở",H40,K40))</f>
        <v>10000000</v>
      </c>
      <c r="O40" s="85" t="n">
        <f aca="false">IF($B$2="Thận trọng",F40,IF($B$2="Cơ sở",I40,L40))</f>
        <v>10000000</v>
      </c>
      <c r="P40" s="85" t="n">
        <f aca="false">IF($B$2="Thận trọng",G40,IF($B$2="Cơ sở",J40,M40))</f>
        <v>10000000</v>
      </c>
      <c r="Q40" s="61" t="s">
        <v>191</v>
      </c>
      <c r="R40" s="62" t="s">
        <v>110</v>
      </c>
      <c r="S40" s="2"/>
      <c r="T40" s="2"/>
      <c r="U40" s="2"/>
      <c r="V40" s="2"/>
      <c r="W40" s="2"/>
      <c r="X40" s="2"/>
      <c r="Y40" s="2"/>
      <c r="Z40" s="2"/>
    </row>
    <row r="41" customFormat="false" ht="32.25" hidden="false" customHeight="true" outlineLevel="0" collapsed="false">
      <c r="A41" s="17" t="s">
        <v>182</v>
      </c>
      <c r="B41" s="17" t="s">
        <v>200</v>
      </c>
      <c r="C41" s="17" t="s">
        <v>201</v>
      </c>
      <c r="D41" s="17" t="s">
        <v>197</v>
      </c>
      <c r="E41" s="84" t="n">
        <v>1800000</v>
      </c>
      <c r="F41" s="84" t="n">
        <v>1800000</v>
      </c>
      <c r="G41" s="84" t="n">
        <v>1800000</v>
      </c>
      <c r="H41" s="84" t="n">
        <v>2000000</v>
      </c>
      <c r="I41" s="84" t="n">
        <v>2000000</v>
      </c>
      <c r="J41" s="84" t="n">
        <v>2000000</v>
      </c>
      <c r="K41" s="84" t="n">
        <v>2200000</v>
      </c>
      <c r="L41" s="84" t="n">
        <v>2200000</v>
      </c>
      <c r="M41" s="84" t="n">
        <v>2200000</v>
      </c>
      <c r="N41" s="85" t="n">
        <f aca="false">IF($B$2="Thận trọng",E41,IF($B$2="Cơ sở",H41,K41))</f>
        <v>2000000</v>
      </c>
      <c r="O41" s="85" t="n">
        <f aca="false">IF($B$2="Thận trọng",F41,IF($B$2="Cơ sở",I41,L41))</f>
        <v>2000000</v>
      </c>
      <c r="P41" s="85" t="n">
        <f aca="false">IF($B$2="Thận trọng",G41,IF($B$2="Cơ sở",J41,M41))</f>
        <v>2000000</v>
      </c>
      <c r="Q41" s="61" t="s">
        <v>191</v>
      </c>
      <c r="R41" s="62" t="s">
        <v>110</v>
      </c>
      <c r="S41" s="2"/>
      <c r="T41" s="2"/>
      <c r="U41" s="2"/>
      <c r="V41" s="2"/>
      <c r="W41" s="2"/>
      <c r="X41" s="2"/>
      <c r="Y41" s="2"/>
      <c r="Z41" s="2"/>
    </row>
    <row r="42" customFormat="false" ht="32.25" hidden="false" customHeight="true" outlineLevel="0" collapsed="false">
      <c r="A42" s="17" t="s">
        <v>182</v>
      </c>
      <c r="B42" s="17" t="s">
        <v>202</v>
      </c>
      <c r="C42" s="17" t="s">
        <v>203</v>
      </c>
      <c r="D42" s="17" t="s">
        <v>197</v>
      </c>
      <c r="E42" s="84" t="n">
        <v>13500000</v>
      </c>
      <c r="F42" s="84" t="n">
        <v>13500000</v>
      </c>
      <c r="G42" s="84" t="n">
        <v>13500000</v>
      </c>
      <c r="H42" s="84" t="n">
        <v>15000000</v>
      </c>
      <c r="I42" s="84" t="n">
        <v>15000000</v>
      </c>
      <c r="J42" s="84" t="n">
        <v>15000000</v>
      </c>
      <c r="K42" s="84" t="n">
        <v>18000000</v>
      </c>
      <c r="L42" s="84" t="n">
        <v>18000000</v>
      </c>
      <c r="M42" s="84" t="n">
        <v>18000000</v>
      </c>
      <c r="N42" s="85" t="n">
        <f aca="false">IF($B$2="Thận trọng",E42,IF($B$2="Cơ sở",H42,K42))</f>
        <v>15000000</v>
      </c>
      <c r="O42" s="85" t="n">
        <f aca="false">IF($B$2="Thận trọng",F42,IF($B$2="Cơ sở",I42,L42))</f>
        <v>15000000</v>
      </c>
      <c r="P42" s="85" t="n">
        <f aca="false">IF($B$2="Thận trọng",G42,IF($B$2="Cơ sở",J42,M42))</f>
        <v>15000000</v>
      </c>
      <c r="Q42" s="61" t="s">
        <v>191</v>
      </c>
      <c r="R42" s="62" t="s">
        <v>110</v>
      </c>
      <c r="S42" s="2"/>
      <c r="T42" s="2"/>
      <c r="U42" s="2"/>
      <c r="V42" s="2"/>
      <c r="W42" s="2"/>
      <c r="X42" s="2"/>
      <c r="Y42" s="2"/>
      <c r="Z42" s="2"/>
    </row>
    <row r="43" customFormat="false" ht="17.25" hidden="false" customHeight="true" outlineLevel="0" collapsed="false">
      <c r="A43" s="17" t="s">
        <v>182</v>
      </c>
      <c r="B43" s="17" t="s">
        <v>204</v>
      </c>
      <c r="C43" s="17" t="s">
        <v>205</v>
      </c>
      <c r="D43" s="17" t="s">
        <v>113</v>
      </c>
      <c r="E43" s="86" t="n">
        <v>0.15</v>
      </c>
      <c r="F43" s="86" t="n">
        <v>0.2</v>
      </c>
      <c r="G43" s="86" t="n">
        <v>0.25</v>
      </c>
      <c r="H43" s="86" t="n">
        <v>0.2</v>
      </c>
      <c r="I43" s="86" t="n">
        <v>0.25</v>
      </c>
      <c r="J43" s="86" t="n">
        <v>0.3</v>
      </c>
      <c r="K43" s="86" t="n">
        <v>0.25</v>
      </c>
      <c r="L43" s="86" t="n">
        <v>0.35</v>
      </c>
      <c r="M43" s="86" t="n">
        <v>0.45</v>
      </c>
      <c r="N43" s="64" t="n">
        <f aca="false">IF($B$2="Thận trọng",E43,IF($B$2="Cơ sở",H43,K43))</f>
        <v>0.2</v>
      </c>
      <c r="O43" s="64" t="n">
        <f aca="false">IF($B$2="Thận trọng",F43,IF($B$2="Cơ sở",I43,L43))</f>
        <v>0.25</v>
      </c>
      <c r="P43" s="64" t="n">
        <f aca="false">IF($B$2="Thận trọng",G43,IF($B$2="Cơ sở",J43,M43))</f>
        <v>0.3</v>
      </c>
      <c r="Q43" s="61" t="s">
        <v>177</v>
      </c>
      <c r="R43" s="62" t="s">
        <v>110</v>
      </c>
      <c r="S43" s="2"/>
      <c r="T43" s="2"/>
      <c r="U43" s="2"/>
      <c r="V43" s="2"/>
      <c r="W43" s="2"/>
      <c r="X43" s="2"/>
      <c r="Y43" s="2"/>
      <c r="Z43" s="2"/>
    </row>
    <row r="44" customFormat="false" ht="19.5" hidden="false" customHeight="true" outlineLevel="0" collapsed="false">
      <c r="A44" s="56" t="s">
        <v>206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7"/>
      <c r="S44" s="58"/>
      <c r="T44" s="58"/>
      <c r="U44" s="58"/>
      <c r="V44" s="58"/>
      <c r="W44" s="58"/>
      <c r="X44" s="58"/>
      <c r="Y44" s="58"/>
      <c r="Z44" s="58"/>
    </row>
    <row r="45" customFormat="false" ht="17.25" hidden="false" customHeight="true" outlineLevel="0" collapsed="false">
      <c r="A45" s="17" t="s">
        <v>207</v>
      </c>
      <c r="B45" s="17" t="s">
        <v>208</v>
      </c>
      <c r="C45" s="17" t="s">
        <v>209</v>
      </c>
      <c r="D45" s="17" t="s">
        <v>210</v>
      </c>
      <c r="E45" s="87" t="n">
        <v>200</v>
      </c>
      <c r="F45" s="87" t="n">
        <v>180</v>
      </c>
      <c r="G45" s="87" t="n">
        <v>160</v>
      </c>
      <c r="H45" s="87" t="n">
        <v>180</v>
      </c>
      <c r="I45" s="87" t="n">
        <v>160</v>
      </c>
      <c r="J45" s="87" t="n">
        <v>140</v>
      </c>
      <c r="K45" s="87" t="n">
        <v>160</v>
      </c>
      <c r="L45" s="87" t="n">
        <v>140</v>
      </c>
      <c r="M45" s="87" t="n">
        <v>120</v>
      </c>
      <c r="N45" s="85" t="n">
        <f aca="false">IF($B$2="Thận trọng",E45,IF($B$2="Cơ sở",H45,K45))</f>
        <v>180</v>
      </c>
      <c r="O45" s="85" t="n">
        <f aca="false">IF($B$2="Thận trọng",F45,IF($B$2="Cơ sở",I45,L45))</f>
        <v>160</v>
      </c>
      <c r="P45" s="85" t="n">
        <f aca="false">IF($B$2="Thận trọng",G45,IF($B$2="Cơ sở",J45,M45))</f>
        <v>140</v>
      </c>
      <c r="Q45" s="61" t="s">
        <v>117</v>
      </c>
      <c r="R45" s="62" t="s">
        <v>110</v>
      </c>
      <c r="S45" s="2"/>
      <c r="T45" s="2"/>
      <c r="U45" s="2"/>
      <c r="V45" s="2"/>
      <c r="W45" s="2"/>
      <c r="X45" s="2"/>
      <c r="Y45" s="2"/>
      <c r="Z45" s="2"/>
    </row>
    <row r="46" customFormat="false" ht="48" hidden="false" customHeight="true" outlineLevel="0" collapsed="false">
      <c r="A46" s="17" t="s">
        <v>207</v>
      </c>
      <c r="B46" s="17" t="s">
        <v>211</v>
      </c>
      <c r="C46" s="17" t="s">
        <v>212</v>
      </c>
      <c r="D46" s="17" t="s">
        <v>213</v>
      </c>
      <c r="E46" s="87" t="n">
        <v>1000</v>
      </c>
      <c r="F46" s="87" t="n">
        <v>1100</v>
      </c>
      <c r="G46" s="87" t="n">
        <v>1200</v>
      </c>
      <c r="H46" s="87" t="n">
        <v>900</v>
      </c>
      <c r="I46" s="87" t="n">
        <v>1000</v>
      </c>
      <c r="J46" s="87" t="n">
        <v>1100</v>
      </c>
      <c r="K46" s="87" t="n">
        <v>800</v>
      </c>
      <c r="L46" s="87" t="n">
        <v>900</v>
      </c>
      <c r="M46" s="87" t="n">
        <v>1000</v>
      </c>
      <c r="N46" s="85" t="n">
        <f aca="false">IF($B$2="Thận trọng",E46,IF($B$2="Cơ sở",H46,K46))</f>
        <v>900</v>
      </c>
      <c r="O46" s="85" t="n">
        <f aca="false">IF($B$2="Thận trọng",F46,IF($B$2="Cơ sở",I46,L46))</f>
        <v>1000</v>
      </c>
      <c r="P46" s="85" t="n">
        <f aca="false">IF($B$2="Thận trọng",G46,IF($B$2="Cơ sở",J46,M46))</f>
        <v>1100</v>
      </c>
      <c r="Q46" s="61" t="s">
        <v>214</v>
      </c>
      <c r="R46" s="62" t="s">
        <v>110</v>
      </c>
      <c r="S46" s="2"/>
      <c r="T46" s="2"/>
      <c r="U46" s="2"/>
      <c r="V46" s="2"/>
      <c r="W46" s="2"/>
      <c r="X46" s="2"/>
      <c r="Y46" s="2"/>
      <c r="Z46" s="2"/>
    </row>
    <row r="47" customFormat="false" ht="48" hidden="false" customHeight="true" outlineLevel="0" collapsed="false">
      <c r="A47" s="17" t="s">
        <v>207</v>
      </c>
      <c r="B47" s="17" t="s">
        <v>215</v>
      </c>
      <c r="C47" s="17" t="s">
        <v>216</v>
      </c>
      <c r="D47" s="17" t="s">
        <v>213</v>
      </c>
      <c r="E47" s="87" t="n">
        <v>280</v>
      </c>
      <c r="F47" s="87" t="n">
        <v>330</v>
      </c>
      <c r="G47" s="87" t="n">
        <v>380</v>
      </c>
      <c r="H47" s="87" t="n">
        <v>250</v>
      </c>
      <c r="I47" s="87" t="n">
        <v>300</v>
      </c>
      <c r="J47" s="87" t="n">
        <v>350</v>
      </c>
      <c r="K47" s="87" t="n">
        <v>220</v>
      </c>
      <c r="L47" s="87" t="n">
        <v>270</v>
      </c>
      <c r="M47" s="87" t="n">
        <v>320</v>
      </c>
      <c r="N47" s="85" t="n">
        <f aca="false">IF($B$2="Thận trọng",E47,IF($B$2="Cơ sở",H47,K47))</f>
        <v>250</v>
      </c>
      <c r="O47" s="85" t="n">
        <f aca="false">IF($B$2="Thận trọng",F47,IF($B$2="Cơ sở",I47,L47))</f>
        <v>300</v>
      </c>
      <c r="P47" s="85" t="n">
        <f aca="false">IF($B$2="Thận trọng",G47,IF($B$2="Cơ sở",J47,M47))</f>
        <v>350</v>
      </c>
      <c r="Q47" s="61" t="s">
        <v>217</v>
      </c>
      <c r="R47" s="62" t="s">
        <v>110</v>
      </c>
      <c r="S47" s="2"/>
      <c r="T47" s="2"/>
      <c r="U47" s="2"/>
      <c r="V47" s="2"/>
      <c r="W47" s="2"/>
      <c r="X47" s="2"/>
      <c r="Y47" s="2"/>
      <c r="Z47" s="2"/>
    </row>
    <row r="48" customFormat="false" ht="48" hidden="false" customHeight="true" outlineLevel="0" collapsed="false">
      <c r="A48" s="17" t="s">
        <v>207</v>
      </c>
      <c r="B48" s="17" t="s">
        <v>218</v>
      </c>
      <c r="C48" s="17" t="s">
        <v>219</v>
      </c>
      <c r="D48" s="17" t="s">
        <v>213</v>
      </c>
      <c r="E48" s="87" t="n">
        <v>140</v>
      </c>
      <c r="F48" s="87" t="n">
        <v>170</v>
      </c>
      <c r="G48" s="87" t="n">
        <v>200</v>
      </c>
      <c r="H48" s="87" t="n">
        <v>120</v>
      </c>
      <c r="I48" s="87" t="n">
        <v>150</v>
      </c>
      <c r="J48" s="87" t="n">
        <v>180</v>
      </c>
      <c r="K48" s="87" t="n">
        <v>100</v>
      </c>
      <c r="L48" s="87" t="n">
        <v>130</v>
      </c>
      <c r="M48" s="87" t="n">
        <v>160</v>
      </c>
      <c r="N48" s="85" t="n">
        <f aca="false">IF($B$2="Thận trọng",E48,IF($B$2="Cơ sở",H48,K48))</f>
        <v>120</v>
      </c>
      <c r="O48" s="85" t="n">
        <f aca="false">IF($B$2="Thận trọng",F48,IF($B$2="Cơ sở",I48,L48))</f>
        <v>150</v>
      </c>
      <c r="P48" s="85" t="n">
        <f aca="false">IF($B$2="Thận trọng",G48,IF($B$2="Cơ sở",J48,M48))</f>
        <v>180</v>
      </c>
      <c r="Q48" s="61" t="s">
        <v>217</v>
      </c>
      <c r="R48" s="62" t="s">
        <v>110</v>
      </c>
      <c r="S48" s="2"/>
      <c r="T48" s="2"/>
      <c r="U48" s="2"/>
      <c r="V48" s="2"/>
      <c r="W48" s="2"/>
      <c r="X48" s="2"/>
      <c r="Y48" s="2"/>
      <c r="Z48" s="2"/>
    </row>
    <row r="49" customFormat="false" ht="32.25" hidden="false" customHeight="true" outlineLevel="0" collapsed="false">
      <c r="A49" s="17" t="s">
        <v>207</v>
      </c>
      <c r="B49" s="17" t="s">
        <v>220</v>
      </c>
      <c r="C49" s="17" t="s">
        <v>221</v>
      </c>
      <c r="D49" s="17" t="s">
        <v>222</v>
      </c>
      <c r="E49" s="63" t="n">
        <v>0.03</v>
      </c>
      <c r="F49" s="63" t="n">
        <v>0.03</v>
      </c>
      <c r="G49" s="63" t="n">
        <v>0.03</v>
      </c>
      <c r="H49" s="63" t="n">
        <v>0.025</v>
      </c>
      <c r="I49" s="63" t="n">
        <v>0.025</v>
      </c>
      <c r="J49" s="63" t="n">
        <v>0.025</v>
      </c>
      <c r="K49" s="63" t="n">
        <v>0.022</v>
      </c>
      <c r="L49" s="63" t="n">
        <v>0.022</v>
      </c>
      <c r="M49" s="63" t="n">
        <v>0.022</v>
      </c>
      <c r="N49" s="64" t="n">
        <f aca="false">IF($B$2="Thận trọng",E49,IF($B$2="Cơ sở",H49,K49))</f>
        <v>0.025</v>
      </c>
      <c r="O49" s="64" t="n">
        <f aca="false">IF($B$2="Thận trọng",F49,IF($B$2="Cơ sở",I49,L49))</f>
        <v>0.025</v>
      </c>
      <c r="P49" s="64" t="n">
        <f aca="false">IF($B$2="Thận trọng",G49,IF($B$2="Cơ sở",J49,M49))</f>
        <v>0.025</v>
      </c>
      <c r="Q49" s="61" t="s">
        <v>217</v>
      </c>
      <c r="R49" s="62" t="s">
        <v>110</v>
      </c>
      <c r="S49" s="2"/>
      <c r="T49" s="2"/>
      <c r="U49" s="2"/>
      <c r="V49" s="2"/>
      <c r="W49" s="2"/>
      <c r="X49" s="2"/>
      <c r="Y49" s="2"/>
      <c r="Z49" s="2"/>
    </row>
    <row r="50" customFormat="false" ht="48" hidden="false" customHeight="true" outlineLevel="0" collapsed="false">
      <c r="A50" s="17" t="s">
        <v>207</v>
      </c>
      <c r="B50" s="17" t="s">
        <v>223</v>
      </c>
      <c r="C50" s="17" t="s">
        <v>224</v>
      </c>
      <c r="D50" s="17" t="s">
        <v>213</v>
      </c>
      <c r="E50" s="87" t="n">
        <v>8000</v>
      </c>
      <c r="F50" s="87" t="n">
        <v>8500</v>
      </c>
      <c r="G50" s="87" t="n">
        <v>9000</v>
      </c>
      <c r="H50" s="87" t="n">
        <v>7000</v>
      </c>
      <c r="I50" s="87" t="n">
        <v>7500</v>
      </c>
      <c r="J50" s="87" t="n">
        <v>8000</v>
      </c>
      <c r="K50" s="87" t="n">
        <v>6500</v>
      </c>
      <c r="L50" s="87" t="n">
        <v>7000</v>
      </c>
      <c r="M50" s="87" t="n">
        <v>7500</v>
      </c>
      <c r="N50" s="85" t="n">
        <f aca="false">IF($B$2="Thận trọng",E50,IF($B$2="Cơ sở",H50,K50))</f>
        <v>7000</v>
      </c>
      <c r="O50" s="85" t="n">
        <f aca="false">IF($B$2="Thận trọng",F50,IF($B$2="Cơ sở",I50,L50))</f>
        <v>7500</v>
      </c>
      <c r="P50" s="85" t="n">
        <f aca="false">IF($B$2="Thận trọng",G50,IF($B$2="Cơ sở",J50,M50))</f>
        <v>8000</v>
      </c>
      <c r="Q50" s="61" t="s">
        <v>217</v>
      </c>
      <c r="R50" s="62" t="s">
        <v>110</v>
      </c>
      <c r="S50" s="2"/>
      <c r="T50" s="2"/>
      <c r="U50" s="2"/>
      <c r="V50" s="2"/>
      <c r="W50" s="2"/>
      <c r="X50" s="2"/>
      <c r="Y50" s="2"/>
      <c r="Z50" s="2"/>
    </row>
    <row r="51" customFormat="false" ht="32.25" hidden="false" customHeight="true" outlineLevel="0" collapsed="false">
      <c r="A51" s="17" t="s">
        <v>207</v>
      </c>
      <c r="B51" s="17" t="s">
        <v>225</v>
      </c>
      <c r="C51" s="17" t="s">
        <v>226</v>
      </c>
      <c r="D51" s="17" t="s">
        <v>197</v>
      </c>
      <c r="E51" s="87" t="n">
        <v>13000000</v>
      </c>
      <c r="F51" s="87" t="n">
        <v>13000000</v>
      </c>
      <c r="G51" s="87" t="n">
        <v>13000000</v>
      </c>
      <c r="H51" s="87" t="n">
        <v>12000000</v>
      </c>
      <c r="I51" s="87" t="n">
        <v>12000000</v>
      </c>
      <c r="J51" s="87" t="n">
        <v>12000000</v>
      </c>
      <c r="K51" s="87" t="n">
        <v>11000000</v>
      </c>
      <c r="L51" s="87" t="n">
        <v>11000000</v>
      </c>
      <c r="M51" s="87" t="n">
        <v>11000000</v>
      </c>
      <c r="N51" s="85" t="n">
        <f aca="false">IF($B$2="Thận trọng",E51,IF($B$2="Cơ sở",H51,K51))</f>
        <v>12000000</v>
      </c>
      <c r="O51" s="85" t="n">
        <f aca="false">IF($B$2="Thận trọng",F51,IF($B$2="Cơ sở",I51,L51))</f>
        <v>12000000</v>
      </c>
      <c r="P51" s="85" t="n">
        <f aca="false">IF($B$2="Thận trọng",G51,IF($B$2="Cơ sở",J51,M51))</f>
        <v>12000000</v>
      </c>
      <c r="Q51" s="61" t="s">
        <v>217</v>
      </c>
      <c r="R51" s="62" t="s">
        <v>110</v>
      </c>
      <c r="S51" s="2"/>
      <c r="T51" s="2"/>
      <c r="U51" s="2"/>
      <c r="V51" s="2"/>
      <c r="W51" s="2"/>
      <c r="X51" s="2"/>
      <c r="Y51" s="2"/>
      <c r="Z51" s="2"/>
    </row>
    <row r="52" customFormat="false" ht="17.25" hidden="false" customHeight="true" outlineLevel="0" collapsed="false">
      <c r="A52" s="17" t="s">
        <v>207</v>
      </c>
      <c r="B52" s="17" t="s">
        <v>227</v>
      </c>
      <c r="C52" s="17" t="s">
        <v>228</v>
      </c>
      <c r="D52" s="17" t="s">
        <v>197</v>
      </c>
      <c r="E52" s="87" t="n">
        <v>4500000</v>
      </c>
      <c r="F52" s="87" t="n">
        <v>4500000</v>
      </c>
      <c r="G52" s="87" t="n">
        <v>4500000</v>
      </c>
      <c r="H52" s="87" t="n">
        <v>4000000</v>
      </c>
      <c r="I52" s="87" t="n">
        <v>4000000</v>
      </c>
      <c r="J52" s="87" t="n">
        <v>4000000</v>
      </c>
      <c r="K52" s="87" t="n">
        <v>3500000</v>
      </c>
      <c r="L52" s="87" t="n">
        <v>3500000</v>
      </c>
      <c r="M52" s="87" t="n">
        <v>3500000</v>
      </c>
      <c r="N52" s="85" t="n">
        <f aca="false">IF($B$2="Thận trọng",E52,IF($B$2="Cơ sở",H52,K52))</f>
        <v>4000000</v>
      </c>
      <c r="O52" s="85" t="n">
        <f aca="false">IF($B$2="Thận trọng",F52,IF($B$2="Cơ sở",I52,L52))</f>
        <v>4000000</v>
      </c>
      <c r="P52" s="85" t="n">
        <f aca="false">IF($B$2="Thận trọng",G52,IF($B$2="Cơ sở",J52,M52))</f>
        <v>4000000</v>
      </c>
      <c r="Q52" s="61" t="s">
        <v>217</v>
      </c>
      <c r="R52" s="62" t="s">
        <v>110</v>
      </c>
      <c r="S52" s="2"/>
      <c r="T52" s="2"/>
      <c r="U52" s="2"/>
      <c r="V52" s="2"/>
      <c r="W52" s="2"/>
      <c r="X52" s="2"/>
      <c r="Y52" s="2"/>
      <c r="Z52" s="2"/>
    </row>
    <row r="53" customFormat="false" ht="32.25" hidden="false" customHeight="true" outlineLevel="0" collapsed="false">
      <c r="A53" s="17" t="s">
        <v>207</v>
      </c>
      <c r="B53" s="17" t="s">
        <v>229</v>
      </c>
      <c r="C53" s="17" t="s">
        <v>230</v>
      </c>
      <c r="D53" s="17" t="s">
        <v>231</v>
      </c>
      <c r="E53" s="63" t="n">
        <v>0.06</v>
      </c>
      <c r="F53" s="63" t="n">
        <v>0.06</v>
      </c>
      <c r="G53" s="63" t="n">
        <v>0.06</v>
      </c>
      <c r="H53" s="63" t="n">
        <v>0.05</v>
      </c>
      <c r="I53" s="63" t="n">
        <v>0.05</v>
      </c>
      <c r="J53" s="63" t="n">
        <v>0.05</v>
      </c>
      <c r="K53" s="63" t="n">
        <v>0.045</v>
      </c>
      <c r="L53" s="63" t="n">
        <v>0.045</v>
      </c>
      <c r="M53" s="63" t="n">
        <v>0.045</v>
      </c>
      <c r="N53" s="64" t="n">
        <f aca="false">IF($B$2="Thận trọng",E53,IF($B$2="Cơ sở",H53,K53))</f>
        <v>0.05</v>
      </c>
      <c r="O53" s="64" t="n">
        <f aca="false">IF($B$2="Thận trọng",F53,IF($B$2="Cơ sở",I53,L53))</f>
        <v>0.05</v>
      </c>
      <c r="P53" s="64" t="n">
        <f aca="false">IF($B$2="Thận trọng",G53,IF($B$2="Cơ sở",J53,M53))</f>
        <v>0.05</v>
      </c>
      <c r="Q53" s="61" t="s">
        <v>217</v>
      </c>
      <c r="R53" s="62" t="s">
        <v>110</v>
      </c>
      <c r="S53" s="2"/>
      <c r="T53" s="2"/>
      <c r="U53" s="2"/>
      <c r="V53" s="2"/>
      <c r="W53" s="2"/>
      <c r="X53" s="2"/>
      <c r="Y53" s="2"/>
      <c r="Z53" s="2"/>
    </row>
    <row r="54" customFormat="false" ht="32.25" hidden="false" customHeight="true" outlineLevel="0" collapsed="false">
      <c r="A54" s="17" t="s">
        <v>207</v>
      </c>
      <c r="B54" s="17" t="s">
        <v>232</v>
      </c>
      <c r="C54" s="17" t="s">
        <v>233</v>
      </c>
      <c r="D54" s="17" t="s">
        <v>234</v>
      </c>
      <c r="E54" s="87" t="n">
        <v>250000</v>
      </c>
      <c r="F54" s="87" t="n">
        <v>300000</v>
      </c>
      <c r="G54" s="87" t="n">
        <v>350000</v>
      </c>
      <c r="H54" s="87" t="n">
        <v>220000</v>
      </c>
      <c r="I54" s="87" t="n">
        <v>260000</v>
      </c>
      <c r="J54" s="87" t="n">
        <v>300000</v>
      </c>
      <c r="K54" s="87" t="n">
        <v>200000</v>
      </c>
      <c r="L54" s="87" t="n">
        <v>240000</v>
      </c>
      <c r="M54" s="87" t="n">
        <v>280000</v>
      </c>
      <c r="N54" s="85" t="n">
        <f aca="false">IF($B$2="Thận trọng",E54,IF($B$2="Cơ sở",H54,K54))</f>
        <v>220000</v>
      </c>
      <c r="O54" s="85" t="n">
        <f aca="false">IF($B$2="Thận trọng",F54,IF($B$2="Cơ sở",I54,L54))</f>
        <v>260000</v>
      </c>
      <c r="P54" s="85" t="n">
        <f aca="false">IF($B$2="Thận trọng",G54,IF($B$2="Cơ sở",J54,M54))</f>
        <v>300000</v>
      </c>
      <c r="Q54" s="61" t="s">
        <v>217</v>
      </c>
      <c r="R54" s="62" t="s">
        <v>110</v>
      </c>
      <c r="S54" s="2"/>
      <c r="T54" s="2"/>
      <c r="U54" s="2"/>
      <c r="V54" s="2"/>
      <c r="W54" s="2"/>
      <c r="X54" s="2"/>
      <c r="Y54" s="2"/>
      <c r="Z54" s="2"/>
    </row>
    <row r="55" customFormat="false" ht="32.25" hidden="false" customHeight="true" outlineLevel="0" collapsed="false">
      <c r="A55" s="17" t="s">
        <v>207</v>
      </c>
      <c r="B55" s="17" t="s">
        <v>235</v>
      </c>
      <c r="C55" s="17" t="s">
        <v>236</v>
      </c>
      <c r="D55" s="17" t="s">
        <v>237</v>
      </c>
      <c r="E55" s="63" t="n">
        <v>0.018</v>
      </c>
      <c r="F55" s="63" t="n">
        <v>0.018</v>
      </c>
      <c r="G55" s="63" t="n">
        <v>0.018</v>
      </c>
      <c r="H55" s="63" t="n">
        <v>0.015</v>
      </c>
      <c r="I55" s="63" t="n">
        <v>0.015</v>
      </c>
      <c r="J55" s="63" t="n">
        <v>0.015</v>
      </c>
      <c r="K55" s="63" t="n">
        <v>0.012</v>
      </c>
      <c r="L55" s="63" t="n">
        <v>0.012</v>
      </c>
      <c r="M55" s="63" t="n">
        <v>0.012</v>
      </c>
      <c r="N55" s="64" t="n">
        <f aca="false">IF($B$2="Thận trọng",E55,IF($B$2="Cơ sở",H55,K55))</f>
        <v>0.015</v>
      </c>
      <c r="O55" s="64" t="n">
        <f aca="false">IF($B$2="Thận trọng",F55,IF($B$2="Cơ sở",I55,L55))</f>
        <v>0.015</v>
      </c>
      <c r="P55" s="64" t="n">
        <f aca="false">IF($B$2="Thận trọng",G55,IF($B$2="Cơ sở",J55,M55))</f>
        <v>0.015</v>
      </c>
      <c r="Q55" s="61" t="s">
        <v>217</v>
      </c>
      <c r="R55" s="62" t="s">
        <v>110</v>
      </c>
      <c r="S55" s="2"/>
      <c r="T55" s="2"/>
      <c r="U55" s="2"/>
      <c r="V55" s="2"/>
      <c r="W55" s="2"/>
      <c r="X55" s="2"/>
      <c r="Y55" s="2"/>
      <c r="Z55" s="2"/>
    </row>
    <row r="56" customFormat="false" ht="17.25" hidden="false" customHeight="true" outlineLevel="0" collapsed="false">
      <c r="A56" s="17" t="s">
        <v>207</v>
      </c>
      <c r="B56" s="17" t="s">
        <v>238</v>
      </c>
      <c r="C56" s="17" t="s">
        <v>239</v>
      </c>
      <c r="D56" s="17" t="s">
        <v>240</v>
      </c>
      <c r="E56" s="59" t="n">
        <v>0.05</v>
      </c>
      <c r="F56" s="59" t="n">
        <v>0.08</v>
      </c>
      <c r="G56" s="59" t="n">
        <v>0.1</v>
      </c>
      <c r="H56" s="59" t="n">
        <v>0.05</v>
      </c>
      <c r="I56" s="59" t="n">
        <v>0.08</v>
      </c>
      <c r="J56" s="59" t="n">
        <v>0.1</v>
      </c>
      <c r="K56" s="59" t="n">
        <v>0.06</v>
      </c>
      <c r="L56" s="59" t="n">
        <v>0.1</v>
      </c>
      <c r="M56" s="59" t="n">
        <v>0.12</v>
      </c>
      <c r="N56" s="60" t="n">
        <f aca="false">IF($B$2="Thận trọng",E56,IF($B$2="Cơ sở",H56,K56))</f>
        <v>0.05</v>
      </c>
      <c r="O56" s="60" t="n">
        <f aca="false">IF($B$2="Thận trọng",F56,IF($B$2="Cơ sở",I56,L56))</f>
        <v>0.08</v>
      </c>
      <c r="P56" s="60" t="n">
        <f aca="false">IF($B$2="Thận trọng",G56,IF($B$2="Cơ sở",J56,M56))</f>
        <v>0.1</v>
      </c>
      <c r="Q56" s="61" t="s">
        <v>217</v>
      </c>
      <c r="R56" s="62" t="s">
        <v>110</v>
      </c>
      <c r="S56" s="2"/>
      <c r="T56" s="2"/>
      <c r="U56" s="2"/>
      <c r="V56" s="2"/>
      <c r="W56" s="2"/>
      <c r="X56" s="2"/>
      <c r="Y56" s="2"/>
      <c r="Z56" s="2"/>
    </row>
    <row r="57" customFormat="false" ht="17.25" hidden="false" customHeight="true" outlineLevel="0" collapsed="false">
      <c r="A57" s="17" t="s">
        <v>207</v>
      </c>
      <c r="B57" s="17" t="s">
        <v>241</v>
      </c>
      <c r="C57" s="17" t="s">
        <v>242</v>
      </c>
      <c r="D57" s="17" t="s">
        <v>243</v>
      </c>
      <c r="E57" s="87" t="n">
        <v>300000</v>
      </c>
      <c r="F57" s="87" t="n">
        <v>300000</v>
      </c>
      <c r="G57" s="87" t="n">
        <v>300000</v>
      </c>
      <c r="H57" s="87" t="n">
        <v>200000</v>
      </c>
      <c r="I57" s="87" t="n">
        <v>200000</v>
      </c>
      <c r="J57" s="87" t="n">
        <v>200000</v>
      </c>
      <c r="K57" s="87" t="n">
        <v>100000</v>
      </c>
      <c r="L57" s="87" t="n">
        <v>100000</v>
      </c>
      <c r="M57" s="87" t="n">
        <v>100000</v>
      </c>
      <c r="N57" s="85" t="n">
        <f aca="false">IF($B$2="Thận trọng",E57,IF($B$2="Cơ sở",H57,K57))</f>
        <v>200000</v>
      </c>
      <c r="O57" s="85" t="n">
        <f aca="false">IF($B$2="Thận trọng",F57,IF($B$2="Cơ sở",I57,L57))</f>
        <v>200000</v>
      </c>
      <c r="P57" s="85" t="n">
        <f aca="false">IF($B$2="Thận trọng",G57,IF($B$2="Cơ sở",J57,M57))</f>
        <v>200000</v>
      </c>
      <c r="Q57" s="61" t="s">
        <v>217</v>
      </c>
      <c r="R57" s="62" t="s">
        <v>110</v>
      </c>
      <c r="S57" s="2"/>
      <c r="T57" s="2"/>
      <c r="U57" s="2"/>
      <c r="V57" s="2"/>
      <c r="W57" s="2"/>
      <c r="X57" s="2"/>
      <c r="Y57" s="2"/>
      <c r="Z57" s="2"/>
    </row>
    <row r="58" customFormat="false" ht="19.5" hidden="false" customHeight="true" outlineLevel="0" collapsed="false">
      <c r="A58" s="56" t="s">
        <v>244</v>
      </c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7"/>
      <c r="S58" s="58"/>
      <c r="T58" s="58"/>
      <c r="U58" s="58"/>
      <c r="V58" s="58"/>
      <c r="W58" s="58"/>
      <c r="X58" s="58"/>
      <c r="Y58" s="58"/>
      <c r="Z58" s="58"/>
    </row>
    <row r="59" customFormat="false" ht="17.25" hidden="false" customHeight="true" outlineLevel="0" collapsed="false">
      <c r="A59" s="17" t="s">
        <v>245</v>
      </c>
      <c r="B59" s="17" t="s">
        <v>246</v>
      </c>
      <c r="C59" s="17" t="s">
        <v>247</v>
      </c>
      <c r="D59" s="17" t="s">
        <v>113</v>
      </c>
      <c r="E59" s="86" t="n">
        <v>0.2</v>
      </c>
      <c r="F59" s="86" t="n">
        <v>0.2</v>
      </c>
      <c r="G59" s="86" t="n">
        <v>0.2</v>
      </c>
      <c r="H59" s="86" t="n">
        <v>0.2</v>
      </c>
      <c r="I59" s="86" t="n">
        <v>0.2</v>
      </c>
      <c r="J59" s="86" t="n">
        <v>0.2</v>
      </c>
      <c r="K59" s="86" t="n">
        <v>0.2</v>
      </c>
      <c r="L59" s="86" t="n">
        <v>0.2</v>
      </c>
      <c r="M59" s="86" t="n">
        <v>0.2</v>
      </c>
      <c r="N59" s="64" t="n">
        <f aca="false">IF($B$2="Thận trọng",E59,IF($B$2="Cơ sở",H59,K59))</f>
        <v>0.2</v>
      </c>
      <c r="O59" s="64" t="n">
        <f aca="false">IF($B$2="Thận trọng",F59,IF($B$2="Cơ sở",I59,L59))</f>
        <v>0.2</v>
      </c>
      <c r="P59" s="64" t="n">
        <f aca="false">IF($B$2="Thận trọng",G59,IF($B$2="Cơ sở",J59,M59))</f>
        <v>0.2</v>
      </c>
      <c r="Q59" s="61" t="s">
        <v>217</v>
      </c>
      <c r="R59" s="62" t="s">
        <v>110</v>
      </c>
      <c r="S59" s="2"/>
      <c r="T59" s="2"/>
      <c r="U59" s="2"/>
      <c r="V59" s="2"/>
      <c r="W59" s="2"/>
      <c r="X59" s="2"/>
      <c r="Y59" s="2"/>
      <c r="Z59" s="2"/>
    </row>
    <row r="60" customFormat="false" ht="17.25" hidden="false" customHeight="true" outlineLevel="0" collapsed="false">
      <c r="A60" s="17" t="s">
        <v>245</v>
      </c>
      <c r="B60" s="17" t="s">
        <v>248</v>
      </c>
      <c r="C60" s="17" t="s">
        <v>249</v>
      </c>
      <c r="D60" s="17" t="s">
        <v>113</v>
      </c>
      <c r="E60" s="86" t="n">
        <v>0.2</v>
      </c>
      <c r="F60" s="86" t="n">
        <v>0.2</v>
      </c>
      <c r="G60" s="86" t="n">
        <v>0.2</v>
      </c>
      <c r="H60" s="86" t="n">
        <v>0.18</v>
      </c>
      <c r="I60" s="86" t="n">
        <v>0.18</v>
      </c>
      <c r="J60" s="86" t="n">
        <v>0.18</v>
      </c>
      <c r="K60" s="86" t="n">
        <v>0.15</v>
      </c>
      <c r="L60" s="86" t="n">
        <v>0.15</v>
      </c>
      <c r="M60" s="86" t="n">
        <v>0.15</v>
      </c>
      <c r="N60" s="64" t="n">
        <f aca="false">IF($B$2="Thận trọng",E60,IF($B$2="Cơ sở",H60,K60))</f>
        <v>0.18</v>
      </c>
      <c r="O60" s="64" t="n">
        <f aca="false">IF($B$2="Thận trọng",F60,IF($B$2="Cơ sở",I60,L60))</f>
        <v>0.18</v>
      </c>
      <c r="P60" s="64" t="n">
        <f aca="false">IF($B$2="Thận trọng",G60,IF($B$2="Cơ sở",J60,M60))</f>
        <v>0.18</v>
      </c>
      <c r="Q60" s="61" t="s">
        <v>217</v>
      </c>
      <c r="R60" s="62" t="s">
        <v>110</v>
      </c>
      <c r="S60" s="2"/>
      <c r="T60" s="2"/>
      <c r="U60" s="2"/>
      <c r="V60" s="2"/>
      <c r="W60" s="2"/>
      <c r="X60" s="2"/>
      <c r="Y60" s="2"/>
      <c r="Z60" s="2"/>
    </row>
    <row r="61" customFormat="false" ht="17.25" hidden="false" customHeight="true" outlineLevel="0" collapsed="false">
      <c r="A61" s="17" t="s">
        <v>245</v>
      </c>
      <c r="B61" s="17" t="s">
        <v>250</v>
      </c>
      <c r="C61" s="17" t="s">
        <v>251</v>
      </c>
      <c r="D61" s="17" t="s">
        <v>113</v>
      </c>
      <c r="E61" s="86" t="n">
        <v>0</v>
      </c>
      <c r="F61" s="86" t="n">
        <v>0</v>
      </c>
      <c r="G61" s="86" t="n">
        <v>0</v>
      </c>
      <c r="H61" s="86" t="n">
        <v>0</v>
      </c>
      <c r="I61" s="86" t="n">
        <v>0</v>
      </c>
      <c r="J61" s="86" t="n">
        <v>0</v>
      </c>
      <c r="K61" s="86" t="n">
        <v>0</v>
      </c>
      <c r="L61" s="86" t="n">
        <v>0</v>
      </c>
      <c r="M61" s="86" t="n">
        <v>0</v>
      </c>
      <c r="N61" s="64" t="n">
        <f aca="false">IF($B$2="Thận trọng",E61,IF($B$2="Cơ sở",H61,K61))</f>
        <v>0</v>
      </c>
      <c r="O61" s="64" t="n">
        <f aca="false">IF($B$2="Thận trọng",F61,IF($B$2="Cơ sở",I61,L61))</f>
        <v>0</v>
      </c>
      <c r="P61" s="64" t="n">
        <f aca="false">IF($B$2="Thận trọng",G61,IF($B$2="Cơ sở",J61,M61))</f>
        <v>0</v>
      </c>
      <c r="Q61" s="61" t="s">
        <v>217</v>
      </c>
      <c r="R61" s="62" t="s">
        <v>110</v>
      </c>
      <c r="S61" s="2"/>
      <c r="T61" s="2"/>
      <c r="U61" s="2"/>
      <c r="V61" s="2"/>
      <c r="W61" s="2"/>
      <c r="X61" s="2"/>
      <c r="Y61" s="2"/>
      <c r="Z61" s="2"/>
    </row>
    <row r="62" customFormat="false" ht="17.25" hidden="false" customHeight="true" outlineLevel="0" collapsed="false">
      <c r="A62" s="17" t="s">
        <v>245</v>
      </c>
      <c r="B62" s="17" t="s">
        <v>252</v>
      </c>
      <c r="C62" s="17" t="s">
        <v>253</v>
      </c>
      <c r="D62" s="17" t="s">
        <v>254</v>
      </c>
      <c r="E62" s="86" t="n">
        <v>0.1</v>
      </c>
      <c r="F62" s="86" t="n">
        <v>0.1</v>
      </c>
      <c r="G62" s="86" t="n">
        <v>0.1</v>
      </c>
      <c r="H62" s="86" t="n">
        <v>0.1</v>
      </c>
      <c r="I62" s="86" t="n">
        <v>0.1</v>
      </c>
      <c r="J62" s="86" t="n">
        <v>0.1</v>
      </c>
      <c r="K62" s="86" t="n">
        <v>0.09</v>
      </c>
      <c r="L62" s="86" t="n">
        <v>0.09</v>
      </c>
      <c r="M62" s="86" t="n">
        <v>0.09</v>
      </c>
      <c r="N62" s="64" t="n">
        <f aca="false">IF($B$2="Thận trọng",E62,IF($B$2="Cơ sở",H62,K62))</f>
        <v>0.1</v>
      </c>
      <c r="O62" s="64" t="n">
        <f aca="false">IF($B$2="Thận trọng",F62,IF($B$2="Cơ sở",I62,L62))</f>
        <v>0.1</v>
      </c>
      <c r="P62" s="64" t="n">
        <f aca="false">IF($B$2="Thận trọng",G62,IF($B$2="Cơ sở",J62,M62))</f>
        <v>0.1</v>
      </c>
      <c r="Q62" s="61" t="s">
        <v>217</v>
      </c>
      <c r="R62" s="62" t="s">
        <v>110</v>
      </c>
      <c r="S62" s="2"/>
      <c r="T62" s="2"/>
      <c r="U62" s="2"/>
      <c r="V62" s="2"/>
      <c r="W62" s="2"/>
      <c r="X62" s="2"/>
      <c r="Y62" s="2"/>
      <c r="Z62" s="2"/>
    </row>
    <row r="63" customFormat="false" ht="17.25" hidden="false" customHeight="true" outlineLevel="0" collapsed="false">
      <c r="A63" s="17" t="s">
        <v>245</v>
      </c>
      <c r="B63" s="17" t="s">
        <v>255</v>
      </c>
      <c r="C63" s="17" t="s">
        <v>256</v>
      </c>
      <c r="D63" s="17" t="s">
        <v>113</v>
      </c>
      <c r="E63" s="86" t="n">
        <v>1</v>
      </c>
      <c r="F63" s="86" t="n">
        <v>1</v>
      </c>
      <c r="G63" s="86" t="n">
        <v>1</v>
      </c>
      <c r="H63" s="86" t="n">
        <v>1</v>
      </c>
      <c r="I63" s="86" t="n">
        <v>1</v>
      </c>
      <c r="J63" s="86" t="n">
        <v>1</v>
      </c>
      <c r="K63" s="86" t="n">
        <v>1</v>
      </c>
      <c r="L63" s="86" t="n">
        <v>1</v>
      </c>
      <c r="M63" s="86" t="n">
        <v>1</v>
      </c>
      <c r="N63" s="64" t="n">
        <f aca="false">IF($B$2="Thận trọng",E63,IF($B$2="Cơ sở",H63,K63))</f>
        <v>1</v>
      </c>
      <c r="O63" s="64" t="n">
        <f aca="false">IF($B$2="Thận trọng",F63,IF($B$2="Cơ sở",I63,L63))</f>
        <v>1</v>
      </c>
      <c r="P63" s="64" t="n">
        <f aca="false">IF($B$2="Thận trọng",G63,IF($B$2="Cơ sở",J63,M63))</f>
        <v>1</v>
      </c>
      <c r="Q63" s="61" t="s">
        <v>217</v>
      </c>
      <c r="R63" s="62" t="s">
        <v>110</v>
      </c>
      <c r="S63" s="2"/>
      <c r="T63" s="2"/>
      <c r="U63" s="2"/>
      <c r="V63" s="2"/>
      <c r="W63" s="2"/>
      <c r="X63" s="2"/>
      <c r="Y63" s="2"/>
      <c r="Z63" s="2"/>
    </row>
    <row r="64" customFormat="false" ht="32.25" hidden="false" customHeight="true" outlineLevel="0" collapsed="false">
      <c r="A64" s="17" t="s">
        <v>245</v>
      </c>
      <c r="B64" s="17" t="s">
        <v>257</v>
      </c>
      <c r="C64" s="17" t="s">
        <v>258</v>
      </c>
      <c r="D64" s="17" t="s">
        <v>259</v>
      </c>
      <c r="E64" s="88" t="n">
        <v>1</v>
      </c>
      <c r="F64" s="88" t="n">
        <v>0</v>
      </c>
      <c r="G64" s="88" t="n">
        <v>0</v>
      </c>
      <c r="H64" s="88" t="n">
        <v>1</v>
      </c>
      <c r="I64" s="88" t="n">
        <v>0</v>
      </c>
      <c r="J64" s="88" t="n">
        <v>0</v>
      </c>
      <c r="K64" s="88" t="n">
        <v>1</v>
      </c>
      <c r="L64" s="88" t="n">
        <v>0</v>
      </c>
      <c r="M64" s="88" t="n">
        <v>0</v>
      </c>
      <c r="N64" s="89" t="n">
        <f aca="false">IF($B$2="Thận trọng",E64,IF($B$2="Cơ sở",H64,K64))</f>
        <v>1</v>
      </c>
      <c r="O64" s="89" t="n">
        <f aca="false">IF($B$2="Thận trọng",F64,IF($B$2="Cơ sở",I64,L64))</f>
        <v>0</v>
      </c>
      <c r="P64" s="89" t="n">
        <f aca="false">IF($B$2="Thận trọng",G64,IF($B$2="Cơ sở",J64,M64))</f>
        <v>0</v>
      </c>
      <c r="Q64" s="61" t="s">
        <v>260</v>
      </c>
      <c r="R64" s="62" t="s">
        <v>110</v>
      </c>
      <c r="S64" s="2"/>
      <c r="T64" s="2"/>
      <c r="U64" s="2"/>
      <c r="V64" s="2"/>
      <c r="W64" s="2"/>
      <c r="X64" s="2"/>
      <c r="Y64" s="2"/>
      <c r="Z64" s="2"/>
    </row>
    <row r="65" customFormat="false" ht="17.25" hidden="false" customHeight="true" outlineLevel="0" collapsed="false">
      <c r="A65" s="17" t="s">
        <v>245</v>
      </c>
      <c r="B65" s="17" t="s">
        <v>261</v>
      </c>
      <c r="C65" s="17" t="s">
        <v>262</v>
      </c>
      <c r="D65" s="17" t="s">
        <v>259</v>
      </c>
      <c r="E65" s="88" t="n">
        <v>3</v>
      </c>
      <c r="F65" s="88" t="n">
        <v>3</v>
      </c>
      <c r="G65" s="88" t="n">
        <v>3</v>
      </c>
      <c r="H65" s="88" t="n">
        <v>4</v>
      </c>
      <c r="I65" s="88" t="n">
        <v>4</v>
      </c>
      <c r="J65" s="88" t="n">
        <v>4</v>
      </c>
      <c r="K65" s="88" t="n">
        <v>5</v>
      </c>
      <c r="L65" s="88" t="n">
        <v>5</v>
      </c>
      <c r="M65" s="88" t="n">
        <v>5</v>
      </c>
      <c r="N65" s="89" t="n">
        <f aca="false">IF($B$2="Thận trọng",E65,IF($B$2="Cơ sở",H65,K65))</f>
        <v>4</v>
      </c>
      <c r="O65" s="89" t="n">
        <f aca="false">IF($B$2="Thận trọng",F65,IF($B$2="Cơ sở",I65,L65))</f>
        <v>4</v>
      </c>
      <c r="P65" s="89" t="n">
        <f aca="false">IF($B$2="Thận trọng",G65,IF($B$2="Cơ sở",J65,M65))</f>
        <v>4</v>
      </c>
      <c r="Q65" s="61" t="s">
        <v>117</v>
      </c>
      <c r="R65" s="62" t="s">
        <v>110</v>
      </c>
      <c r="S65" s="2"/>
      <c r="T65" s="2"/>
      <c r="U65" s="2"/>
      <c r="V65" s="2"/>
      <c r="W65" s="2"/>
      <c r="X65" s="2"/>
      <c r="Y65" s="2"/>
      <c r="Z65" s="2"/>
    </row>
    <row r="66" customFormat="false" ht="17.25" hidden="false" customHeight="true" outlineLevel="0" collapsed="false">
      <c r="A66" s="17" t="s">
        <v>245</v>
      </c>
      <c r="B66" s="17" t="s">
        <v>263</v>
      </c>
      <c r="C66" s="17" t="s">
        <v>264</v>
      </c>
      <c r="D66" s="17" t="s">
        <v>259</v>
      </c>
      <c r="E66" s="88" t="n">
        <v>3</v>
      </c>
      <c r="F66" s="88" t="n">
        <v>3</v>
      </c>
      <c r="G66" s="88" t="n">
        <v>3</v>
      </c>
      <c r="H66" s="88" t="n">
        <v>3</v>
      </c>
      <c r="I66" s="88" t="n">
        <v>3</v>
      </c>
      <c r="J66" s="88" t="n">
        <v>3</v>
      </c>
      <c r="K66" s="88" t="n">
        <v>3</v>
      </c>
      <c r="L66" s="88" t="n">
        <v>3</v>
      </c>
      <c r="M66" s="88" t="n">
        <v>3</v>
      </c>
      <c r="N66" s="89" t="n">
        <f aca="false">IF($B$2="Thận trọng",E66,IF($B$2="Cơ sở",H66,K66))</f>
        <v>3</v>
      </c>
      <c r="O66" s="89" t="n">
        <f aca="false">IF($B$2="Thận trọng",F66,IF($B$2="Cơ sở",I66,L66))</f>
        <v>3</v>
      </c>
      <c r="P66" s="89" t="n">
        <f aca="false">IF($B$2="Thận trọng",G66,IF($B$2="Cơ sở",J66,M66))</f>
        <v>3</v>
      </c>
      <c r="Q66" s="61" t="s">
        <v>117</v>
      </c>
      <c r="R66" s="62" t="s">
        <v>110</v>
      </c>
      <c r="S66" s="2"/>
      <c r="T66" s="2"/>
      <c r="U66" s="2"/>
      <c r="V66" s="2"/>
      <c r="W66" s="2"/>
      <c r="X66" s="2"/>
      <c r="Y66" s="2"/>
      <c r="Z66" s="2"/>
    </row>
    <row r="67" customFormat="false" ht="32.25" hidden="false" customHeight="true" outlineLevel="0" collapsed="false">
      <c r="A67" s="17" t="s">
        <v>245</v>
      </c>
      <c r="B67" s="17" t="s">
        <v>265</v>
      </c>
      <c r="C67" s="17" t="s">
        <v>266</v>
      </c>
      <c r="D67" s="17" t="s">
        <v>267</v>
      </c>
      <c r="E67" s="90" t="n">
        <v>2</v>
      </c>
      <c r="F67" s="90" t="n">
        <v>2</v>
      </c>
      <c r="G67" s="90" t="n">
        <v>2</v>
      </c>
      <c r="H67" s="90" t="n">
        <v>2</v>
      </c>
      <c r="I67" s="90" t="n">
        <v>2</v>
      </c>
      <c r="J67" s="90" t="n">
        <v>2</v>
      </c>
      <c r="K67" s="90" t="n">
        <v>2</v>
      </c>
      <c r="L67" s="90" t="n">
        <v>2</v>
      </c>
      <c r="M67" s="90" t="n">
        <v>2</v>
      </c>
      <c r="N67" s="91" t="n">
        <f aca="false">IF($B$2="Thận trọng",E67,IF($B$2="Cơ sở",H67,K67))</f>
        <v>2</v>
      </c>
      <c r="O67" s="91" t="n">
        <f aca="false">IF($B$2="Thận trọng",F67,IF($B$2="Cơ sở",I67,L67))</f>
        <v>2</v>
      </c>
      <c r="P67" s="91" t="n">
        <f aca="false">IF($B$2="Thận trọng",G67,IF($B$2="Cơ sở",J67,M67))</f>
        <v>2</v>
      </c>
      <c r="Q67" s="61" t="s">
        <v>117</v>
      </c>
      <c r="R67" s="62" t="s">
        <v>110</v>
      </c>
      <c r="S67" s="2"/>
      <c r="T67" s="2"/>
      <c r="U67" s="2"/>
      <c r="V67" s="2"/>
      <c r="W67" s="2"/>
      <c r="X67" s="2"/>
      <c r="Y67" s="2"/>
      <c r="Z67" s="2"/>
    </row>
    <row r="68" customFormat="false" ht="17.25" hidden="false" customHeight="true" outlineLevel="0" collapsed="false">
      <c r="A68" s="17" t="s">
        <v>245</v>
      </c>
      <c r="B68" s="17" t="s">
        <v>268</v>
      </c>
      <c r="C68" s="17" t="s">
        <v>269</v>
      </c>
      <c r="D68" s="17" t="s">
        <v>254</v>
      </c>
      <c r="E68" s="86" t="n">
        <v>0.08</v>
      </c>
      <c r="F68" s="86" t="n">
        <v>0.08</v>
      </c>
      <c r="G68" s="86" t="n">
        <v>0.08</v>
      </c>
      <c r="H68" s="86" t="n">
        <v>0.1</v>
      </c>
      <c r="I68" s="86" t="n">
        <v>0.1</v>
      </c>
      <c r="J68" s="86" t="n">
        <v>0.1</v>
      </c>
      <c r="K68" s="86" t="n">
        <v>0.12</v>
      </c>
      <c r="L68" s="86" t="n">
        <v>0.12</v>
      </c>
      <c r="M68" s="86" t="n">
        <v>0.12</v>
      </c>
      <c r="N68" s="64" t="n">
        <f aca="false">IF($B$2="Thận trọng",E68,IF($B$2="Cơ sở",H68,K68))</f>
        <v>0.1</v>
      </c>
      <c r="O68" s="64" t="n">
        <f aca="false">IF($B$2="Thận trọng",F68,IF($B$2="Cơ sở",I68,L68))</f>
        <v>0.1</v>
      </c>
      <c r="P68" s="64" t="n">
        <f aca="false">IF($B$2="Thận trọng",G68,IF($B$2="Cơ sở",J68,M68))</f>
        <v>0.1</v>
      </c>
      <c r="Q68" s="61" t="s">
        <v>117</v>
      </c>
      <c r="R68" s="62" t="s">
        <v>110</v>
      </c>
      <c r="S68" s="2"/>
      <c r="T68" s="2"/>
      <c r="U68" s="2"/>
      <c r="V68" s="2"/>
      <c r="W68" s="2"/>
      <c r="X68" s="2"/>
      <c r="Y68" s="2"/>
      <c r="Z68" s="2"/>
    </row>
    <row r="69" customFormat="false" ht="17.25" hidden="false" customHeight="true" outlineLevel="0" collapsed="false">
      <c r="A69" s="17" t="s">
        <v>245</v>
      </c>
      <c r="B69" s="17" t="s">
        <v>270</v>
      </c>
      <c r="C69" s="17" t="s">
        <v>271</v>
      </c>
      <c r="D69" s="17" t="s">
        <v>254</v>
      </c>
      <c r="E69" s="86" t="n">
        <v>0.1</v>
      </c>
      <c r="F69" s="86" t="n">
        <v>0.1</v>
      </c>
      <c r="G69" s="86" t="n">
        <v>0.1</v>
      </c>
      <c r="H69" s="86" t="n">
        <v>0.08</v>
      </c>
      <c r="I69" s="86" t="n">
        <v>0.08</v>
      </c>
      <c r="J69" s="86" t="n">
        <v>0.08</v>
      </c>
      <c r="K69" s="86" t="n">
        <v>0.06</v>
      </c>
      <c r="L69" s="86" t="n">
        <v>0.06</v>
      </c>
      <c r="M69" s="86" t="n">
        <v>0.06</v>
      </c>
      <c r="N69" s="64" t="n">
        <f aca="false">IF($B$2="Thận trọng",E69,IF($B$2="Cơ sở",H69,K69))</f>
        <v>0.08</v>
      </c>
      <c r="O69" s="64" t="n">
        <f aca="false">IF($B$2="Thận trọng",F69,IF($B$2="Cơ sở",I69,L69))</f>
        <v>0.08</v>
      </c>
      <c r="P69" s="64" t="n">
        <f aca="false">IF($B$2="Thận trọng",G69,IF($B$2="Cơ sở",J69,M69))</f>
        <v>0.08</v>
      </c>
      <c r="Q69" s="61" t="s">
        <v>117</v>
      </c>
      <c r="R69" s="62" t="s">
        <v>110</v>
      </c>
      <c r="S69" s="2"/>
      <c r="T69" s="2"/>
      <c r="U69" s="2"/>
      <c r="V69" s="2"/>
      <c r="W69" s="2"/>
      <c r="X69" s="2"/>
      <c r="Y69" s="2"/>
      <c r="Z69" s="2"/>
    </row>
    <row r="70" customFormat="false" ht="17.25" hidden="false" customHeight="true" outlineLevel="0" collapsed="false">
      <c r="A70" s="17" t="s">
        <v>245</v>
      </c>
      <c r="B70" s="17" t="s">
        <v>272</v>
      </c>
      <c r="C70" s="17" t="s">
        <v>273</v>
      </c>
      <c r="D70" s="17" t="s">
        <v>254</v>
      </c>
      <c r="E70" s="86" t="n">
        <v>0.1</v>
      </c>
      <c r="F70" s="86" t="n">
        <v>0.1</v>
      </c>
      <c r="G70" s="86" t="n">
        <v>0.1</v>
      </c>
      <c r="H70" s="86" t="n">
        <v>0.15</v>
      </c>
      <c r="I70" s="86" t="n">
        <v>0.15</v>
      </c>
      <c r="J70" s="86" t="n">
        <v>0.15</v>
      </c>
      <c r="K70" s="86" t="n">
        <v>0.2</v>
      </c>
      <c r="L70" s="86" t="n">
        <v>0.2</v>
      </c>
      <c r="M70" s="86" t="n">
        <v>0.2</v>
      </c>
      <c r="N70" s="64" t="n">
        <f aca="false">IF($B$2="Thận trọng",E70,IF($B$2="Cơ sở",H70,K70))</f>
        <v>0.15</v>
      </c>
      <c r="O70" s="64" t="n">
        <f aca="false">IF($B$2="Thận trọng",F70,IF($B$2="Cơ sở",I70,L70))</f>
        <v>0.15</v>
      </c>
      <c r="P70" s="64" t="n">
        <f aca="false">IF($B$2="Thận trọng",G70,IF($B$2="Cơ sở",J70,M70))</f>
        <v>0.15</v>
      </c>
      <c r="Q70" s="61" t="s">
        <v>117</v>
      </c>
      <c r="R70" s="62" t="s">
        <v>110</v>
      </c>
      <c r="S70" s="2"/>
      <c r="T70" s="2"/>
      <c r="U70" s="2"/>
      <c r="V70" s="2"/>
      <c r="W70" s="2"/>
      <c r="X70" s="2"/>
      <c r="Y70" s="2"/>
      <c r="Z70" s="2"/>
    </row>
    <row r="71" customFormat="false" ht="17.25" hidden="false" customHeight="true" outlineLevel="0" collapsed="false">
      <c r="A71" s="17" t="s">
        <v>245</v>
      </c>
      <c r="B71" s="17" t="s">
        <v>274</v>
      </c>
      <c r="C71" s="17" t="s">
        <v>275</v>
      </c>
      <c r="D71" s="17" t="s">
        <v>259</v>
      </c>
      <c r="E71" s="88" t="n">
        <v>3</v>
      </c>
      <c r="F71" s="88" t="n">
        <v>3</v>
      </c>
      <c r="G71" s="88" t="n">
        <v>3</v>
      </c>
      <c r="H71" s="88" t="n">
        <v>3</v>
      </c>
      <c r="I71" s="88" t="n">
        <v>3</v>
      </c>
      <c r="J71" s="88" t="n">
        <v>3</v>
      </c>
      <c r="K71" s="88" t="n">
        <v>3</v>
      </c>
      <c r="L71" s="88" t="n">
        <v>3</v>
      </c>
      <c r="M71" s="88" t="n">
        <v>3</v>
      </c>
      <c r="N71" s="89" t="n">
        <f aca="false">IF($B$2="Thận trọng",E71,IF($B$2="Cơ sở",H71,K71))</f>
        <v>3</v>
      </c>
      <c r="O71" s="89" t="n">
        <f aca="false">IF($B$2="Thận trọng",F71,IF($B$2="Cơ sở",I71,L71))</f>
        <v>3</v>
      </c>
      <c r="P71" s="89" t="n">
        <f aca="false">IF($B$2="Thận trọng",G71,IF($B$2="Cơ sở",J71,M71))</f>
        <v>3</v>
      </c>
      <c r="Q71" s="61" t="s">
        <v>117</v>
      </c>
      <c r="R71" s="62" t="s">
        <v>110</v>
      </c>
      <c r="S71" s="2"/>
      <c r="T71" s="2"/>
      <c r="U71" s="2"/>
      <c r="V71" s="2"/>
      <c r="W71" s="2"/>
      <c r="X71" s="2"/>
      <c r="Y71" s="2"/>
      <c r="Z71" s="2"/>
    </row>
    <row r="72" customFormat="false" ht="17.25" hidden="false" customHeight="true" outlineLevel="0" collapsed="false">
      <c r="A72" s="17" t="s">
        <v>245</v>
      </c>
      <c r="B72" s="17" t="s">
        <v>276</v>
      </c>
      <c r="C72" s="17" t="s">
        <v>277</v>
      </c>
      <c r="D72" s="17" t="s">
        <v>113</v>
      </c>
      <c r="E72" s="86" t="n">
        <v>0.65</v>
      </c>
      <c r="F72" s="86" t="n">
        <v>0.65</v>
      </c>
      <c r="G72" s="86" t="n">
        <v>0.65</v>
      </c>
      <c r="H72" s="86" t="n">
        <v>0.7</v>
      </c>
      <c r="I72" s="86" t="n">
        <v>0.7</v>
      </c>
      <c r="J72" s="86" t="n">
        <v>0.7</v>
      </c>
      <c r="K72" s="86" t="n">
        <v>0.75</v>
      </c>
      <c r="L72" s="86" t="n">
        <v>0.75</v>
      </c>
      <c r="M72" s="86" t="n">
        <v>0.75</v>
      </c>
      <c r="N72" s="64" t="n">
        <f aca="false">IF($B$2="Thận trọng",E72,IF($B$2="Cơ sở",H72,K72))</f>
        <v>0.7</v>
      </c>
      <c r="O72" s="64" t="n">
        <f aca="false">IF($B$2="Thận trọng",F72,IF($B$2="Cơ sở",I72,L72))</f>
        <v>0.7</v>
      </c>
      <c r="P72" s="64" t="n">
        <f aca="false">IF($B$2="Thận trọng",G72,IF($B$2="Cơ sở",J72,M72))</f>
        <v>0.7</v>
      </c>
      <c r="Q72" s="61" t="s">
        <v>117</v>
      </c>
      <c r="R72" s="62" t="s">
        <v>110</v>
      </c>
      <c r="S72" s="2"/>
      <c r="T72" s="2"/>
      <c r="U72" s="2"/>
      <c r="V72" s="2"/>
      <c r="W72" s="2"/>
      <c r="X72" s="2"/>
      <c r="Y72" s="2"/>
      <c r="Z72" s="2"/>
    </row>
    <row r="73" customFormat="false" ht="32.25" hidden="false" customHeight="true" outlineLevel="0" collapsed="false">
      <c r="A73" s="17" t="s">
        <v>245</v>
      </c>
      <c r="B73" s="17" t="s">
        <v>278</v>
      </c>
      <c r="C73" s="17" t="s">
        <v>279</v>
      </c>
      <c r="D73" s="17" t="s">
        <v>190</v>
      </c>
      <c r="E73" s="84" t="n">
        <v>0</v>
      </c>
      <c r="F73" s="84" t="n">
        <v>50000000</v>
      </c>
      <c r="G73" s="84" t="n">
        <v>80000000</v>
      </c>
      <c r="H73" s="84" t="n">
        <v>0</v>
      </c>
      <c r="I73" s="84" t="n">
        <v>100000000</v>
      </c>
      <c r="J73" s="84" t="n">
        <v>150000000</v>
      </c>
      <c r="K73" s="84" t="n">
        <v>0</v>
      </c>
      <c r="L73" s="84" t="n">
        <v>200000000</v>
      </c>
      <c r="M73" s="84" t="n">
        <v>300000000</v>
      </c>
      <c r="N73" s="85" t="n">
        <f aca="false">IF($B$2="Thận trọng",E73,IF($B$2="Cơ sở",H73,K73))</f>
        <v>0</v>
      </c>
      <c r="O73" s="85" t="n">
        <f aca="false">IF($B$2="Thận trọng",F73,IF($B$2="Cơ sở",I73,L73))</f>
        <v>100000000</v>
      </c>
      <c r="P73" s="85" t="n">
        <f aca="false">IF($B$2="Thận trọng",G73,IF($B$2="Cơ sở",J73,M73))</f>
        <v>150000000</v>
      </c>
      <c r="Q73" s="61" t="s">
        <v>117</v>
      </c>
      <c r="R73" s="62" t="s">
        <v>110</v>
      </c>
      <c r="S73" s="2"/>
      <c r="T73" s="2"/>
      <c r="U73" s="2"/>
      <c r="V73" s="2"/>
      <c r="W73" s="2"/>
      <c r="X73" s="2"/>
      <c r="Y73" s="2"/>
      <c r="Z73" s="2"/>
    </row>
    <row r="74" customFormat="false" ht="19.5" hidden="false" customHeight="true" outlineLevel="0" collapsed="false">
      <c r="A74" s="56" t="s">
        <v>280</v>
      </c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7"/>
      <c r="S74" s="58"/>
      <c r="T74" s="58"/>
      <c r="U74" s="58"/>
      <c r="V74" s="58"/>
      <c r="W74" s="58"/>
      <c r="X74" s="58"/>
      <c r="Y74" s="58"/>
      <c r="Z74" s="58"/>
    </row>
    <row r="75" customFormat="false" ht="48" hidden="false" customHeight="true" outlineLevel="0" collapsed="false">
      <c r="A75" s="17" t="s">
        <v>281</v>
      </c>
      <c r="B75" s="17" t="s">
        <v>282</v>
      </c>
      <c r="C75" s="17" t="s">
        <v>14</v>
      </c>
      <c r="D75" s="17" t="s">
        <v>185</v>
      </c>
      <c r="E75" s="87" t="n">
        <v>20000000</v>
      </c>
      <c r="F75" s="87" t="n">
        <v>25000000</v>
      </c>
      <c r="G75" s="87" t="n">
        <v>30000000</v>
      </c>
      <c r="H75" s="87" t="n">
        <v>25000000</v>
      </c>
      <c r="I75" s="87" t="n">
        <v>30000000</v>
      </c>
      <c r="J75" s="87" t="n">
        <v>35000000</v>
      </c>
      <c r="K75" s="87" t="n">
        <v>30000000</v>
      </c>
      <c r="L75" s="87" t="n">
        <v>35000000</v>
      </c>
      <c r="M75" s="87" t="n">
        <v>40000000</v>
      </c>
      <c r="N75" s="85" t="n">
        <f aca="false">IF($B$2="Thận trọng",E75,IF($B$2="Cơ sở",H75,K75))</f>
        <v>25000000</v>
      </c>
      <c r="O75" s="85" t="n">
        <f aca="false">IF($B$2="Thận trọng",F75,IF($B$2="Cơ sở",I75,L75))</f>
        <v>30000000</v>
      </c>
      <c r="P75" s="85" t="n">
        <f aca="false">IF($B$2="Thận trọng",G75,IF($B$2="Cơ sở",J75,M75))</f>
        <v>35000000</v>
      </c>
      <c r="Q75" s="61" t="s">
        <v>283</v>
      </c>
      <c r="R75" s="62" t="s">
        <v>110</v>
      </c>
      <c r="S75" s="2"/>
      <c r="T75" s="2"/>
      <c r="U75" s="2"/>
      <c r="V75" s="2"/>
      <c r="W75" s="2"/>
      <c r="X75" s="2"/>
      <c r="Y75" s="2"/>
      <c r="Z75" s="2"/>
    </row>
    <row r="76" customFormat="false" ht="32.25" hidden="false" customHeight="true" outlineLevel="0" collapsed="false">
      <c r="A76" s="17" t="s">
        <v>281</v>
      </c>
      <c r="B76" s="17" t="s">
        <v>284</v>
      </c>
      <c r="C76" s="17" t="s">
        <v>285</v>
      </c>
      <c r="D76" s="17" t="s">
        <v>185</v>
      </c>
      <c r="E76" s="87" t="n">
        <v>7000000</v>
      </c>
      <c r="F76" s="87" t="n">
        <v>8000000</v>
      </c>
      <c r="G76" s="87" t="n">
        <v>9000000</v>
      </c>
      <c r="H76" s="87" t="n">
        <v>8000000</v>
      </c>
      <c r="I76" s="87" t="n">
        <v>9000000</v>
      </c>
      <c r="J76" s="87" t="n">
        <v>10000000</v>
      </c>
      <c r="K76" s="87" t="n">
        <v>9000000</v>
      </c>
      <c r="L76" s="87" t="n">
        <v>10000000</v>
      </c>
      <c r="M76" s="87" t="n">
        <v>12000000</v>
      </c>
      <c r="N76" s="85" t="n">
        <f aca="false">IF($B$2="Thận trọng",E76,IF($B$2="Cơ sở",H76,K76))</f>
        <v>8000000</v>
      </c>
      <c r="O76" s="85" t="n">
        <f aca="false">IF($B$2="Thận trọng",F76,IF($B$2="Cơ sở",I76,L76))</f>
        <v>9000000</v>
      </c>
      <c r="P76" s="85" t="n">
        <f aca="false">IF($B$2="Thận trọng",G76,IF($B$2="Cơ sở",J76,M76))</f>
        <v>10000000</v>
      </c>
      <c r="Q76" s="61" t="s">
        <v>117</v>
      </c>
      <c r="R76" s="62" t="s">
        <v>110</v>
      </c>
      <c r="S76" s="2"/>
      <c r="T76" s="2"/>
      <c r="U76" s="2"/>
      <c r="V76" s="2"/>
      <c r="W76" s="2"/>
      <c r="X76" s="2"/>
      <c r="Y76" s="2"/>
      <c r="Z76" s="2"/>
    </row>
    <row r="77" customFormat="false" ht="32.25" hidden="false" customHeight="true" outlineLevel="0" collapsed="false">
      <c r="A77" s="17" t="s">
        <v>281</v>
      </c>
      <c r="B77" s="17" t="s">
        <v>286</v>
      </c>
      <c r="C77" s="17" t="s">
        <v>287</v>
      </c>
      <c r="D77" s="17" t="s">
        <v>185</v>
      </c>
      <c r="E77" s="87" t="n">
        <v>5000000</v>
      </c>
      <c r="F77" s="87" t="n">
        <v>7000000</v>
      </c>
      <c r="G77" s="87" t="n">
        <v>10000000</v>
      </c>
      <c r="H77" s="87" t="n">
        <v>6000000</v>
      </c>
      <c r="I77" s="87" t="n">
        <v>9000000</v>
      </c>
      <c r="J77" s="87" t="n">
        <v>12000000</v>
      </c>
      <c r="K77" s="87" t="n">
        <v>10000000</v>
      </c>
      <c r="L77" s="87" t="n">
        <v>12000000</v>
      </c>
      <c r="M77" s="87" t="n">
        <v>15000000</v>
      </c>
      <c r="N77" s="85" t="n">
        <f aca="false">IF($B$2="Thận trọng",E77,IF($B$2="Cơ sở",H77,K77))</f>
        <v>6000000</v>
      </c>
      <c r="O77" s="85" t="n">
        <f aca="false">IF($B$2="Thận trọng",F77,IF($B$2="Cơ sở",I77,L77))</f>
        <v>9000000</v>
      </c>
      <c r="P77" s="85" t="n">
        <f aca="false">IF($B$2="Thận trọng",G77,IF($B$2="Cơ sở",J77,M77))</f>
        <v>12000000</v>
      </c>
      <c r="Q77" s="61" t="s">
        <v>117</v>
      </c>
      <c r="R77" s="62" t="s">
        <v>110</v>
      </c>
      <c r="S77" s="2"/>
      <c r="T77" s="2"/>
      <c r="U77" s="2"/>
      <c r="V77" s="2"/>
      <c r="W77" s="2"/>
      <c r="X77" s="2"/>
      <c r="Y77" s="2"/>
      <c r="Z77" s="2"/>
    </row>
    <row r="78" customFormat="false" ht="32.25" hidden="false" customHeight="true" outlineLevel="0" collapsed="false">
      <c r="A78" s="17" t="s">
        <v>281</v>
      </c>
      <c r="B78" s="17" t="s">
        <v>288</v>
      </c>
      <c r="C78" s="17" t="s">
        <v>289</v>
      </c>
      <c r="D78" s="17" t="s">
        <v>185</v>
      </c>
      <c r="E78" s="87" t="n">
        <v>7000000</v>
      </c>
      <c r="F78" s="87" t="n">
        <v>8500000</v>
      </c>
      <c r="G78" s="87" t="n">
        <v>10000000</v>
      </c>
      <c r="H78" s="87" t="n">
        <v>8000000</v>
      </c>
      <c r="I78" s="87" t="n">
        <v>9500000</v>
      </c>
      <c r="J78" s="87" t="n">
        <v>12000000</v>
      </c>
      <c r="K78" s="87" t="n">
        <v>10000000</v>
      </c>
      <c r="L78" s="87" t="n">
        <v>12500000</v>
      </c>
      <c r="M78" s="87" t="n">
        <v>15000000</v>
      </c>
      <c r="N78" s="85" t="n">
        <f aca="false">IF($B$2="Thận trọng",E78,IF($B$2="Cơ sở",H78,K78))</f>
        <v>8000000</v>
      </c>
      <c r="O78" s="85" t="n">
        <f aca="false">IF($B$2="Thận trọng",F78,IF($B$2="Cơ sở",I78,L78))</f>
        <v>9500000</v>
      </c>
      <c r="P78" s="85" t="n">
        <f aca="false">IF($B$2="Thận trọng",G78,IF($B$2="Cơ sở",J78,M78))</f>
        <v>12000000</v>
      </c>
      <c r="Q78" s="61" t="s">
        <v>117</v>
      </c>
      <c r="R78" s="62" t="s">
        <v>110</v>
      </c>
      <c r="S78" s="2"/>
      <c r="T78" s="2"/>
      <c r="U78" s="2"/>
      <c r="V78" s="2"/>
      <c r="W78" s="2"/>
      <c r="X78" s="2"/>
      <c r="Y78" s="2"/>
      <c r="Z78" s="2"/>
    </row>
    <row r="79" customFormat="false" ht="32.25" hidden="false" customHeight="true" outlineLevel="0" collapsed="false">
      <c r="A79" s="17" t="s">
        <v>281</v>
      </c>
      <c r="B79" s="17" t="s">
        <v>290</v>
      </c>
      <c r="C79" s="17" t="s">
        <v>291</v>
      </c>
      <c r="D79" s="17" t="s">
        <v>185</v>
      </c>
      <c r="E79" s="87" t="n">
        <v>13000000</v>
      </c>
      <c r="F79" s="87" t="n">
        <f aca="false">15000000</f>
        <v>15000000</v>
      </c>
      <c r="G79" s="87" t="n">
        <v>20000000</v>
      </c>
      <c r="H79" s="87" t="n">
        <v>15000000</v>
      </c>
      <c r="I79" s="87" t="n">
        <v>20000000</v>
      </c>
      <c r="J79" s="87" t="n">
        <v>25000000</v>
      </c>
      <c r="K79" s="87" t="n">
        <v>20000000</v>
      </c>
      <c r="L79" s="87" t="n">
        <f aca="false">25000000</f>
        <v>25000000</v>
      </c>
      <c r="M79" s="87" t="n">
        <v>30000000</v>
      </c>
      <c r="N79" s="85" t="n">
        <f aca="false">IF($B$2="Thận trọng",E79,IF($B$2="Cơ sở",H79,K79))</f>
        <v>15000000</v>
      </c>
      <c r="O79" s="85" t="n">
        <f aca="false">IF($B$2="Thận trọng",F79,IF($B$2="Cơ sở",I79,L79))</f>
        <v>20000000</v>
      </c>
      <c r="P79" s="85" t="n">
        <f aca="false">IF($B$2="Thận trọng",G79,IF($B$2="Cơ sở",J79,M79))</f>
        <v>25000000</v>
      </c>
      <c r="Q79" s="61" t="s">
        <v>117</v>
      </c>
      <c r="R79" s="62" t="s">
        <v>110</v>
      </c>
      <c r="S79" s="2"/>
      <c r="T79" s="2"/>
      <c r="U79" s="2"/>
      <c r="V79" s="2"/>
      <c r="W79" s="2"/>
      <c r="X79" s="2"/>
      <c r="Y79" s="2"/>
      <c r="Z79" s="2"/>
    </row>
    <row r="80" customFormat="false" ht="32.25" hidden="false" customHeight="true" outlineLevel="0" collapsed="false">
      <c r="A80" s="17" t="s">
        <v>281</v>
      </c>
      <c r="B80" s="17" t="s">
        <v>292</v>
      </c>
      <c r="C80" s="17" t="s">
        <v>293</v>
      </c>
      <c r="D80" s="17" t="s">
        <v>185</v>
      </c>
      <c r="E80" s="87" t="n">
        <v>5000000</v>
      </c>
      <c r="F80" s="87" t="n">
        <f aca="false">7000000</f>
        <v>7000000</v>
      </c>
      <c r="G80" s="87" t="n">
        <v>10000000</v>
      </c>
      <c r="H80" s="87" t="n">
        <v>10000000</v>
      </c>
      <c r="I80" s="87" t="n">
        <v>12000000</v>
      </c>
      <c r="J80" s="87" t="n">
        <v>15000000</v>
      </c>
      <c r="K80" s="87" t="n">
        <v>12000000</v>
      </c>
      <c r="L80" s="87" t="n">
        <f aca="false">15000000</f>
        <v>15000000</v>
      </c>
      <c r="M80" s="87" t="n">
        <v>20000000</v>
      </c>
      <c r="N80" s="85" t="n">
        <f aca="false">IF($B$2="Thận trọng",E80,IF($B$2="Cơ sở",H80,K80))</f>
        <v>10000000</v>
      </c>
      <c r="O80" s="85" t="n">
        <f aca="false">IF($B$2="Thận trọng",F80,IF($B$2="Cơ sở",I80,L80))</f>
        <v>12000000</v>
      </c>
      <c r="P80" s="85" t="n">
        <f aca="false">IF($B$2="Thận trọng",G80,IF($B$2="Cơ sở",J80,M80))</f>
        <v>15000000</v>
      </c>
      <c r="Q80" s="61" t="s">
        <v>117</v>
      </c>
      <c r="R80" s="62" t="s">
        <v>110</v>
      </c>
      <c r="S80" s="2"/>
      <c r="T80" s="2"/>
      <c r="U80" s="2"/>
      <c r="V80" s="2"/>
      <c r="W80" s="2"/>
      <c r="X80" s="2"/>
      <c r="Y80" s="2"/>
      <c r="Z80" s="2"/>
    </row>
    <row r="81" customFormat="false" ht="32.25" hidden="false" customHeight="true" outlineLevel="0" collapsed="false">
      <c r="A81" s="17" t="s">
        <v>281</v>
      </c>
      <c r="B81" s="17" t="s">
        <v>294</v>
      </c>
      <c r="C81" s="17" t="s">
        <v>295</v>
      </c>
      <c r="D81" s="17" t="s">
        <v>185</v>
      </c>
      <c r="E81" s="87" t="n">
        <v>5000000</v>
      </c>
      <c r="F81" s="87" t="n">
        <v>7000000</v>
      </c>
      <c r="G81" s="87" t="n">
        <v>10000000</v>
      </c>
      <c r="H81" s="87" t="n">
        <v>7000000</v>
      </c>
      <c r="I81" s="87" t="n">
        <v>9000000</v>
      </c>
      <c r="J81" s="87" t="n">
        <v>12000000</v>
      </c>
      <c r="K81" s="87" t="n">
        <v>8000000</v>
      </c>
      <c r="L81" s="87" t="n">
        <v>10000000</v>
      </c>
      <c r="M81" s="87" t="n">
        <v>13000000</v>
      </c>
      <c r="N81" s="85" t="n">
        <f aca="false">IF($B$2="Thận trọng",E81,IF($B$2="Cơ sở",H81,K81))</f>
        <v>7000000</v>
      </c>
      <c r="O81" s="85" t="n">
        <f aca="false">IF($B$2="Thận trọng",F81,IF($B$2="Cơ sở",I81,L81))</f>
        <v>9000000</v>
      </c>
      <c r="P81" s="85" t="n">
        <f aca="false">IF($B$2="Thận trọng",G81,IF($B$2="Cơ sở",J81,M81))</f>
        <v>12000000</v>
      </c>
      <c r="Q81" s="61" t="s">
        <v>117</v>
      </c>
      <c r="R81" s="62" t="s">
        <v>110</v>
      </c>
      <c r="S81" s="2"/>
      <c r="T81" s="2"/>
      <c r="U81" s="2"/>
      <c r="V81" s="2"/>
      <c r="W81" s="2"/>
      <c r="X81" s="2"/>
      <c r="Y81" s="2"/>
      <c r="Z81" s="2"/>
    </row>
    <row r="82" customFormat="false" ht="32.25" hidden="false" customHeight="true" outlineLevel="0" collapsed="false">
      <c r="A82" s="17" t="s">
        <v>281</v>
      </c>
      <c r="B82" s="17" t="s">
        <v>296</v>
      </c>
      <c r="C82" s="17" t="s">
        <v>16</v>
      </c>
      <c r="D82" s="17" t="s">
        <v>185</v>
      </c>
      <c r="E82" s="87" t="n">
        <v>0</v>
      </c>
      <c r="F82" s="87" t="n">
        <v>7000000</v>
      </c>
      <c r="G82" s="87" t="n">
        <v>10000000</v>
      </c>
      <c r="H82" s="87" t="n">
        <v>0</v>
      </c>
      <c r="I82" s="87" t="n">
        <v>10000000</v>
      </c>
      <c r="J82" s="87" t="n">
        <v>12000000</v>
      </c>
      <c r="K82" s="87" t="n">
        <v>0</v>
      </c>
      <c r="L82" s="92" t="n">
        <v>12000000</v>
      </c>
      <c r="M82" s="87" t="n">
        <v>15000000</v>
      </c>
      <c r="N82" s="85" t="n">
        <f aca="false">IF($B$2="Thận trọng",E82,IF($B$2="Cơ sở",H82,K82))</f>
        <v>0</v>
      </c>
      <c r="O82" s="85" t="n">
        <f aca="false">IF($B$2="Thận trọng",F82,IF($B$2="Cơ sở",I82,L82))</f>
        <v>10000000</v>
      </c>
      <c r="P82" s="85" t="n">
        <f aca="false">IF($B$2="Thận trọng",G82,IF($B$2="Cơ sở",J82,M82))</f>
        <v>12000000</v>
      </c>
      <c r="Q82" s="61" t="s">
        <v>117</v>
      </c>
      <c r="R82" s="62" t="s">
        <v>187</v>
      </c>
      <c r="S82" s="2"/>
      <c r="T82" s="2"/>
      <c r="U82" s="2"/>
      <c r="V82" s="2"/>
      <c r="W82" s="2"/>
      <c r="X82" s="2"/>
      <c r="Y82" s="2"/>
      <c r="Z82" s="2"/>
    </row>
    <row r="83" customFormat="false" ht="32.25" hidden="false" customHeight="true" outlineLevel="0" collapsed="false">
      <c r="A83" s="17" t="s">
        <v>281</v>
      </c>
      <c r="B83" s="17" t="s">
        <v>297</v>
      </c>
      <c r="C83" s="17" t="s">
        <v>298</v>
      </c>
      <c r="D83" s="17" t="s">
        <v>185</v>
      </c>
      <c r="E83" s="87" t="n">
        <f aca="false">(SUM('DIA_Danh Mục Đầu Tư'!$D$8,'DIA_Danh Mục Đầu Tư'!$D$14,'DIA_Danh Mục Đầu Tư'!D15,'DIA_Danh Mục Đầu Tư'!D25)-'DIA_Danh Mục Đầu Tư'!$D$33)/12</f>
        <v>22812500</v>
      </c>
      <c r="F83" s="87" t="n">
        <f aca="false">(SUM('DIA_Danh Mục Đầu Tư'!$D$8,'DIA_Danh Mục Đầu Tư'!$D$14,'DIA_Danh Mục Đầu Tư'!D15,'DIA_Danh Mục Đầu Tư'!D25)-'DIA_Danh Mục Đầu Tư'!$D$33)/12</f>
        <v>22812500</v>
      </c>
      <c r="G83" s="87" t="n">
        <f aca="false">(SUM('DIA_Danh Mục Đầu Tư'!$D$8,'DIA_Danh Mục Đầu Tư'!$D$14,'DIA_Danh Mục Đầu Tư'!D15,'DIA_Danh Mục Đầu Tư'!D25)-'DIA_Danh Mục Đầu Tư'!$D$33)/12</f>
        <v>22812500</v>
      </c>
      <c r="H83" s="87" t="n">
        <f aca="false">(SUM('DIA_Danh Mục Đầu Tư'!$D$8,'DIA_Danh Mục Đầu Tư'!$D$14,'DIA_Danh Mục Đầu Tư'!D15,'DIA_Danh Mục Đầu Tư'!D25)-'DIA_Danh Mục Đầu Tư'!$D$33)/12</f>
        <v>22812500</v>
      </c>
      <c r="I83" s="87" t="n">
        <f aca="false">(SUM('DIA_Danh Mục Đầu Tư'!$D$8,'DIA_Danh Mục Đầu Tư'!$D$14,'DIA_Danh Mục Đầu Tư'!D15,'DIA_Danh Mục Đầu Tư'!D25)-'DIA_Danh Mục Đầu Tư'!$D$33)/12</f>
        <v>22812500</v>
      </c>
      <c r="J83" s="87" t="n">
        <f aca="false">(SUM('DIA_Danh Mục Đầu Tư'!$D$8,'DIA_Danh Mục Đầu Tư'!$D$14,'DIA_Danh Mục Đầu Tư'!D15,'DIA_Danh Mục Đầu Tư'!D25)-'DIA_Danh Mục Đầu Tư'!$D$33)/12</f>
        <v>22812500</v>
      </c>
      <c r="K83" s="87" t="n">
        <f aca="false">(SUM('DIA_Danh Mục Đầu Tư'!$D$8,'DIA_Danh Mục Đầu Tư'!$D$14,'DIA_Danh Mục Đầu Tư'!D15,'DIA_Danh Mục Đầu Tư'!D25)-'DIA_Danh Mục Đầu Tư'!$D$33)/12</f>
        <v>22812500</v>
      </c>
      <c r="L83" s="87" t="n">
        <f aca="false">(SUM('DIA_Danh Mục Đầu Tư'!$D$8,'DIA_Danh Mục Đầu Tư'!$D$14,'DIA_Danh Mục Đầu Tư'!D15,'DIA_Danh Mục Đầu Tư'!D25)-'DIA_Danh Mục Đầu Tư'!$D$33)/12</f>
        <v>22812500</v>
      </c>
      <c r="M83" s="87" t="n">
        <f aca="false">(SUM('DIA_Danh Mục Đầu Tư'!$D$8,'DIA_Danh Mục Đầu Tư'!$D$14,'DIA_Danh Mục Đầu Tư'!D15,'DIA_Danh Mục Đầu Tư'!D25)-'DIA_Danh Mục Đầu Tư'!$D$33)/12</f>
        <v>22812500</v>
      </c>
      <c r="N83" s="85" t="n">
        <f aca="false">IF($B$2="Thận trọng",E83,IF($B$2="Cơ sở",H83,K83))</f>
        <v>22812500</v>
      </c>
      <c r="O83" s="85" t="n">
        <f aca="false">IF($B$2="Thận trọng",F83,IF($B$2="Cơ sở",I83,L83))</f>
        <v>22812500</v>
      </c>
      <c r="P83" s="85" t="n">
        <f aca="false">IF($B$2="Thận trọng",G83,IF($B$2="Cơ sở",J83,M83))</f>
        <v>22812500</v>
      </c>
      <c r="Q83" s="61" t="s">
        <v>117</v>
      </c>
      <c r="R83" s="62" t="s">
        <v>110</v>
      </c>
      <c r="S83" s="2"/>
      <c r="T83" s="2"/>
      <c r="U83" s="2"/>
      <c r="V83" s="2"/>
      <c r="W83" s="2"/>
      <c r="X83" s="2"/>
      <c r="Y83" s="2"/>
      <c r="Z83" s="2"/>
    </row>
    <row r="84" customFormat="false" ht="17.25" hidden="false" customHeight="true" outlineLevel="0" collapsed="false">
      <c r="A84" s="17" t="s">
        <v>281</v>
      </c>
      <c r="B84" s="17" t="s">
        <v>299</v>
      </c>
      <c r="C84" s="17" t="s">
        <v>300</v>
      </c>
      <c r="D84" s="17" t="s">
        <v>185</v>
      </c>
      <c r="E84" s="87" t="n">
        <v>1500000</v>
      </c>
      <c r="F84" s="87" t="n">
        <v>3500000</v>
      </c>
      <c r="G84" s="87" t="n">
        <v>6000000</v>
      </c>
      <c r="H84" s="87" t="n">
        <v>2000000</v>
      </c>
      <c r="I84" s="87" t="n">
        <v>4000000</v>
      </c>
      <c r="J84" s="87" t="n">
        <v>7000000</v>
      </c>
      <c r="K84" s="87" t="n">
        <v>2500000</v>
      </c>
      <c r="L84" s="87" t="n">
        <v>5000000</v>
      </c>
      <c r="M84" s="87" t="n">
        <v>8500000</v>
      </c>
      <c r="N84" s="85" t="n">
        <f aca="false">IF($B$2="Thận trọng",E84,IF($B$2="Cơ sở",H84,K84))</f>
        <v>2000000</v>
      </c>
      <c r="O84" s="85" t="n">
        <f aca="false">IF($B$2="Thận trọng",F84,IF($B$2="Cơ sở",I84,L84))</f>
        <v>4000000</v>
      </c>
      <c r="P84" s="85" t="n">
        <f aca="false">IF($B$2="Thận trọng",G84,IF($B$2="Cơ sở",J84,M84))</f>
        <v>7000000</v>
      </c>
      <c r="Q84" s="61" t="s">
        <v>117</v>
      </c>
      <c r="R84" s="62" t="s">
        <v>110</v>
      </c>
      <c r="S84" s="2"/>
      <c r="T84" s="2"/>
      <c r="U84" s="2"/>
      <c r="V84" s="2"/>
      <c r="W84" s="2"/>
      <c r="X84" s="2"/>
      <c r="Y84" s="2"/>
      <c r="Z84" s="2"/>
    </row>
    <row r="85" customFormat="false" ht="32.25" hidden="false" customHeight="true" outlineLevel="0" collapsed="false">
      <c r="A85" s="17" t="s">
        <v>281</v>
      </c>
      <c r="B85" s="17" t="s">
        <v>301</v>
      </c>
      <c r="C85" s="17" t="s">
        <v>302</v>
      </c>
      <c r="D85" s="17" t="s">
        <v>185</v>
      </c>
      <c r="E85" s="87" t="n">
        <v>50000000</v>
      </c>
      <c r="F85" s="87" t="n">
        <v>70000000</v>
      </c>
      <c r="G85" s="87" t="n">
        <v>90000000</v>
      </c>
      <c r="H85" s="87" t="n">
        <v>70000000</v>
      </c>
      <c r="I85" s="87" t="n">
        <v>90000000</v>
      </c>
      <c r="J85" s="87" t="n">
        <v>100000000</v>
      </c>
      <c r="K85" s="87" t="n">
        <v>120000000</v>
      </c>
      <c r="L85" s="87" t="n">
        <v>168000000</v>
      </c>
      <c r="M85" s="87" t="n">
        <v>216000000</v>
      </c>
      <c r="N85" s="85" t="n">
        <f aca="false">IF($B$2="Thận trọng",E85,IF($B$2="Cơ sở",H85,K85))</f>
        <v>70000000</v>
      </c>
      <c r="O85" s="85" t="n">
        <f aca="false">IF($B$2="Thận trọng",F85,IF($B$2="Cơ sở",I85,L85))</f>
        <v>90000000</v>
      </c>
      <c r="P85" s="85" t="n">
        <f aca="false">IF($B$2="Thận trọng",G85,IF($B$2="Cơ sở",J85,M85))</f>
        <v>100000000</v>
      </c>
      <c r="Q85" s="61" t="s">
        <v>117</v>
      </c>
      <c r="R85" s="62" t="s">
        <v>110</v>
      </c>
      <c r="S85" s="2"/>
      <c r="T85" s="2"/>
      <c r="U85" s="2"/>
      <c r="V85" s="2"/>
      <c r="W85" s="2"/>
      <c r="X85" s="2"/>
      <c r="Y85" s="2"/>
      <c r="Z85" s="2"/>
    </row>
    <row r="86" customFormat="false" ht="32.25" hidden="false" customHeight="true" outlineLevel="0" collapsed="false">
      <c r="A86" s="17" t="s">
        <v>281</v>
      </c>
      <c r="B86" s="17" t="s">
        <v>303</v>
      </c>
      <c r="C86" s="17" t="s">
        <v>304</v>
      </c>
      <c r="D86" s="17" t="s">
        <v>185</v>
      </c>
      <c r="E86" s="87" t="n">
        <v>3500000</v>
      </c>
      <c r="F86" s="87" t="n">
        <v>8500000</v>
      </c>
      <c r="G86" s="87" t="n">
        <v>15500000</v>
      </c>
      <c r="H86" s="87" t="n">
        <v>4000000</v>
      </c>
      <c r="I86" s="87" t="n">
        <v>10000000</v>
      </c>
      <c r="J86" s="87" t="n">
        <v>18000000</v>
      </c>
      <c r="K86" s="87" t="n">
        <v>5000000</v>
      </c>
      <c r="L86" s="87" t="n">
        <v>12000000</v>
      </c>
      <c r="M86" s="87" t="n">
        <v>21500000</v>
      </c>
      <c r="N86" s="85" t="n">
        <f aca="false">IF($B$2="Thận trọng",E86,IF($B$2="Cơ sở",H86,K86))</f>
        <v>4000000</v>
      </c>
      <c r="O86" s="85" t="n">
        <f aca="false">IF($B$2="Thận trọng",F86,IF($B$2="Cơ sở",I86,L86))</f>
        <v>10000000</v>
      </c>
      <c r="P86" s="85" t="n">
        <f aca="false">IF($B$2="Thận trọng",G86,IF($B$2="Cơ sở",J86,M86))</f>
        <v>18000000</v>
      </c>
      <c r="Q86" s="61" t="s">
        <v>117</v>
      </c>
      <c r="R86" s="62" t="s">
        <v>110</v>
      </c>
      <c r="S86" s="2"/>
      <c r="T86" s="2"/>
      <c r="U86" s="2"/>
      <c r="V86" s="2"/>
      <c r="W86" s="2"/>
      <c r="X86" s="2"/>
      <c r="Y86" s="2"/>
      <c r="Z86" s="2"/>
    </row>
    <row r="87" customFormat="false" ht="32.25" hidden="false" customHeight="true" outlineLevel="0" collapsed="false">
      <c r="A87" s="17" t="s">
        <v>281</v>
      </c>
      <c r="B87" s="17" t="s">
        <v>305</v>
      </c>
      <c r="C87" s="17" t="s">
        <v>306</v>
      </c>
      <c r="D87" s="17" t="s">
        <v>185</v>
      </c>
      <c r="E87" s="87" t="n">
        <v>2500000</v>
      </c>
      <c r="F87" s="87" t="n">
        <v>5000000</v>
      </c>
      <c r="G87" s="87" t="n">
        <v>10000000</v>
      </c>
      <c r="H87" s="87" t="n">
        <v>3000000</v>
      </c>
      <c r="I87" s="87" t="n">
        <v>6000000</v>
      </c>
      <c r="J87" s="87" t="n">
        <v>12000000</v>
      </c>
      <c r="K87" s="87" t="n">
        <v>3500000</v>
      </c>
      <c r="L87" s="87" t="n">
        <v>7000000</v>
      </c>
      <c r="M87" s="87" t="n">
        <v>14500000</v>
      </c>
      <c r="N87" s="85" t="n">
        <f aca="false">IF($B$2="Thận trọng",E87,IF($B$2="Cơ sở",H87,K87))</f>
        <v>3000000</v>
      </c>
      <c r="O87" s="85" t="n">
        <f aca="false">IF($B$2="Thận trọng",F87,IF($B$2="Cơ sở",I87,L87))</f>
        <v>6000000</v>
      </c>
      <c r="P87" s="85" t="n">
        <f aca="false">IF($B$2="Thận trọng",G87,IF($B$2="Cơ sở",J87,M87))</f>
        <v>12000000</v>
      </c>
      <c r="Q87" s="61" t="s">
        <v>117</v>
      </c>
      <c r="R87" s="62" t="s">
        <v>110</v>
      </c>
      <c r="S87" s="2"/>
      <c r="T87" s="2"/>
      <c r="U87" s="2"/>
      <c r="V87" s="2"/>
      <c r="W87" s="2"/>
      <c r="X87" s="2"/>
      <c r="Y87" s="2"/>
      <c r="Z87" s="2"/>
    </row>
    <row r="88" customFormat="false" ht="17.25" hidden="false" customHeight="true" outlineLevel="0" collapsed="false">
      <c r="A88" s="17" t="s">
        <v>281</v>
      </c>
      <c r="B88" s="17" t="s">
        <v>307</v>
      </c>
      <c r="C88" s="17" t="s">
        <v>308</v>
      </c>
      <c r="D88" s="17" t="s">
        <v>185</v>
      </c>
      <c r="E88" s="87" t="n">
        <v>5000000</v>
      </c>
      <c r="F88" s="87" t="n">
        <v>6000000</v>
      </c>
      <c r="G88" s="87" t="n">
        <v>7000000</v>
      </c>
      <c r="H88" s="87" t="n">
        <v>6000000</v>
      </c>
      <c r="I88" s="87" t="n">
        <v>7000000</v>
      </c>
      <c r="J88" s="87" t="n">
        <v>8000000</v>
      </c>
      <c r="K88" s="87" t="n">
        <v>7000000</v>
      </c>
      <c r="L88" s="87" t="n">
        <v>8000000</v>
      </c>
      <c r="M88" s="87" t="n">
        <v>9000000</v>
      </c>
      <c r="N88" s="85" t="n">
        <f aca="false">IF($B$2="Thận trọng",E88,IF($B$2="Cơ sở",H88,K88))</f>
        <v>6000000</v>
      </c>
      <c r="O88" s="85" t="n">
        <f aca="false">IF($B$2="Thận trọng",F88,IF($B$2="Cơ sở",I88,L88))</f>
        <v>7000000</v>
      </c>
      <c r="P88" s="85" t="n">
        <f aca="false">IF($B$2="Thận trọng",G88,IF($B$2="Cơ sở",J88,M88))</f>
        <v>8000000</v>
      </c>
      <c r="Q88" s="61" t="s">
        <v>117</v>
      </c>
      <c r="R88" s="62" t="s">
        <v>110</v>
      </c>
      <c r="S88" s="2"/>
      <c r="T88" s="2"/>
      <c r="U88" s="2"/>
      <c r="V88" s="2"/>
      <c r="W88" s="2"/>
      <c r="X88" s="2"/>
      <c r="Y88" s="2"/>
      <c r="Z88" s="2"/>
    </row>
    <row r="89" customFormat="false" ht="19.5" hidden="false" customHeight="true" outlineLevel="0" collapsed="false">
      <c r="A89" s="56" t="s">
        <v>309</v>
      </c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7"/>
      <c r="S89" s="58"/>
      <c r="T89" s="58"/>
      <c r="U89" s="58"/>
      <c r="V89" s="58"/>
      <c r="W89" s="58"/>
      <c r="X89" s="58"/>
      <c r="Y89" s="58"/>
      <c r="Z89" s="58"/>
    </row>
    <row r="90" customFormat="false" ht="17.25" hidden="false" customHeight="true" outlineLevel="0" collapsed="false">
      <c r="A90" s="17" t="s">
        <v>310</v>
      </c>
      <c r="B90" s="17" t="s">
        <v>311</v>
      </c>
      <c r="C90" s="17" t="s">
        <v>312</v>
      </c>
      <c r="D90" s="17" t="s">
        <v>313</v>
      </c>
      <c r="E90" s="59" t="n">
        <v>1</v>
      </c>
      <c r="F90" s="59" t="n">
        <v>0</v>
      </c>
      <c r="G90" s="59" t="n">
        <v>0</v>
      </c>
      <c r="H90" s="59" t="n">
        <v>1</v>
      </c>
      <c r="I90" s="59" t="n">
        <v>0</v>
      </c>
      <c r="J90" s="59" t="n">
        <v>0</v>
      </c>
      <c r="K90" s="59" t="n">
        <v>1</v>
      </c>
      <c r="L90" s="59" t="n">
        <v>0</v>
      </c>
      <c r="M90" s="59" t="n">
        <v>0</v>
      </c>
      <c r="N90" s="60" t="n">
        <f aca="false">IF($B$2="Thận trọng",E90,IF($B$2="Cơ sở",H90,K90))</f>
        <v>1</v>
      </c>
      <c r="O90" s="60" t="n">
        <f aca="false">IF($B$2="Thận trọng",F90,IF($B$2="Cơ sở",I90,L90))</f>
        <v>0</v>
      </c>
      <c r="P90" s="60" t="n">
        <f aca="false">IF($B$2="Thận trọng",G90,IF($B$2="Cơ sở",J90,M90))</f>
        <v>0</v>
      </c>
      <c r="Q90" s="61" t="s">
        <v>177</v>
      </c>
      <c r="R90" s="62" t="s">
        <v>110</v>
      </c>
      <c r="S90" s="2"/>
      <c r="T90" s="2"/>
      <c r="U90" s="2"/>
      <c r="V90" s="2"/>
      <c r="W90" s="2"/>
      <c r="X90" s="2"/>
      <c r="Y90" s="2"/>
      <c r="Z90" s="2"/>
    </row>
    <row r="91" customFormat="false" ht="32.25" hidden="false" customHeight="true" outlineLevel="0" collapsed="false">
      <c r="A91" s="17" t="s">
        <v>310</v>
      </c>
      <c r="B91" s="17" t="s">
        <v>314</v>
      </c>
      <c r="C91" s="17" t="s">
        <v>315</v>
      </c>
      <c r="D91" s="17" t="s">
        <v>316</v>
      </c>
      <c r="E91" s="87" t="n">
        <v>135000000</v>
      </c>
      <c r="F91" s="87" t="n">
        <v>0</v>
      </c>
      <c r="G91" s="87" t="n">
        <v>0</v>
      </c>
      <c r="H91" s="87" t="n">
        <v>270000000</v>
      </c>
      <c r="I91" s="87" t="n">
        <v>0</v>
      </c>
      <c r="J91" s="87" t="n">
        <v>0</v>
      </c>
      <c r="K91" s="87" t="n">
        <v>405000000</v>
      </c>
      <c r="L91" s="87" t="n">
        <v>0</v>
      </c>
      <c r="M91" s="87" t="n">
        <v>0</v>
      </c>
      <c r="N91" s="85" t="n">
        <f aca="false">IF($B$2="Thận trọng",E91,IF($B$2="Cơ sở",H91,K91))</f>
        <v>270000000</v>
      </c>
      <c r="O91" s="85" t="n">
        <f aca="false">IF($B$2="Thận trọng",F91,IF($B$2="Cơ sở",I91,L91))</f>
        <v>0</v>
      </c>
      <c r="P91" s="85" t="n">
        <f aca="false">IF($B$2="Thận trọng",G91,IF($B$2="Cơ sở",J91,M91))</f>
        <v>0</v>
      </c>
      <c r="Q91" s="61" t="s">
        <v>317</v>
      </c>
      <c r="R91" s="62" t="s">
        <v>110</v>
      </c>
      <c r="S91" s="2"/>
      <c r="T91" s="2"/>
      <c r="U91" s="2"/>
      <c r="V91" s="2"/>
      <c r="W91" s="2"/>
      <c r="X91" s="2"/>
      <c r="Y91" s="2"/>
      <c r="Z91" s="2"/>
    </row>
    <row r="92" customFormat="false" ht="17.25" hidden="false" customHeight="true" outlineLevel="0" collapsed="false">
      <c r="A92" s="17" t="s">
        <v>310</v>
      </c>
      <c r="B92" s="17" t="s">
        <v>318</v>
      </c>
      <c r="C92" s="17" t="s">
        <v>319</v>
      </c>
      <c r="D92" s="17" t="s">
        <v>313</v>
      </c>
      <c r="E92" s="59" t="n">
        <v>1</v>
      </c>
      <c r="F92" s="59" t="n">
        <v>0</v>
      </c>
      <c r="G92" s="59" t="n">
        <v>0</v>
      </c>
      <c r="H92" s="59" t="n">
        <v>1</v>
      </c>
      <c r="I92" s="87" t="n">
        <v>0</v>
      </c>
      <c r="J92" s="87" t="n">
        <v>0</v>
      </c>
      <c r="K92" s="59" t="n">
        <v>1</v>
      </c>
      <c r="L92" s="87" t="n">
        <v>0</v>
      </c>
      <c r="M92" s="87" t="n">
        <v>0</v>
      </c>
      <c r="N92" s="60" t="n">
        <v>1</v>
      </c>
      <c r="O92" s="85" t="n">
        <f aca="false">IF($B$2="Thận trọng",F92,IF($B$2="Cơ sở",I92,L92))</f>
        <v>0</v>
      </c>
      <c r="P92" s="85" t="n">
        <f aca="false">IF($B$2="Thận trọng",G92,IF($B$2="Cơ sở",J92,M92))</f>
        <v>0</v>
      </c>
      <c r="Q92" s="61"/>
      <c r="R92" s="62" t="s">
        <v>110</v>
      </c>
      <c r="S92" s="2"/>
      <c r="T92" s="2"/>
      <c r="U92" s="2"/>
      <c r="V92" s="2"/>
      <c r="W92" s="2"/>
      <c r="X92" s="2"/>
      <c r="Y92" s="2"/>
      <c r="Z92" s="2"/>
    </row>
    <row r="93" customFormat="false" ht="32.25" hidden="false" customHeight="true" outlineLevel="0" collapsed="false">
      <c r="A93" s="17" t="s">
        <v>310</v>
      </c>
      <c r="B93" s="17" t="s">
        <v>320</v>
      </c>
      <c r="C93" s="17" t="s">
        <v>321</v>
      </c>
      <c r="D93" s="17" t="s">
        <v>316</v>
      </c>
      <c r="E93" s="87" t="n">
        <v>96000000</v>
      </c>
      <c r="F93" s="87" t="n">
        <v>0</v>
      </c>
      <c r="G93" s="87" t="n">
        <v>0</v>
      </c>
      <c r="H93" s="87" t="n">
        <v>96000000</v>
      </c>
      <c r="I93" s="87" t="n">
        <v>0</v>
      </c>
      <c r="J93" s="87" t="n">
        <v>0</v>
      </c>
      <c r="K93" s="87" t="n">
        <v>96000000</v>
      </c>
      <c r="L93" s="87" t="n">
        <v>0</v>
      </c>
      <c r="M93" s="87" t="n">
        <v>0</v>
      </c>
      <c r="N93" s="85" t="n">
        <f aca="false">IF($B$2="Thận trọng",E93,IF($B$2="Cơ sở",H93,K93))</f>
        <v>96000000</v>
      </c>
      <c r="O93" s="85" t="n">
        <f aca="false">IF($B$2="Thận trọng",F93,IF($B$2="Cơ sở",I93,L93))</f>
        <v>0</v>
      </c>
      <c r="P93" s="85" t="n">
        <f aca="false">IF($B$2="Thận trọng",G93,IF($B$2="Cơ sở",J93,M93))</f>
        <v>0</v>
      </c>
      <c r="Q93" s="61"/>
      <c r="R93" s="62" t="s">
        <v>110</v>
      </c>
      <c r="S93" s="2"/>
      <c r="T93" s="2"/>
      <c r="U93" s="2"/>
      <c r="V93" s="2"/>
      <c r="W93" s="2"/>
      <c r="X93" s="2"/>
      <c r="Y93" s="2"/>
      <c r="Z93" s="2"/>
    </row>
    <row r="94" customFormat="false" ht="17.25" hidden="false" customHeight="true" outlineLevel="0" collapsed="false">
      <c r="A94" s="17" t="s">
        <v>310</v>
      </c>
      <c r="B94" s="17" t="s">
        <v>322</v>
      </c>
      <c r="C94" s="17" t="s">
        <v>323</v>
      </c>
      <c r="D94" s="17" t="s">
        <v>313</v>
      </c>
      <c r="E94" s="59" t="n">
        <v>1</v>
      </c>
      <c r="F94" s="59" t="n">
        <v>0</v>
      </c>
      <c r="G94" s="59" t="n">
        <v>0</v>
      </c>
      <c r="H94" s="59" t="n">
        <v>1</v>
      </c>
      <c r="I94" s="59" t="n">
        <v>0</v>
      </c>
      <c r="J94" s="59" t="n">
        <v>0</v>
      </c>
      <c r="K94" s="59" t="n">
        <v>1</v>
      </c>
      <c r="L94" s="59" t="n">
        <v>0</v>
      </c>
      <c r="M94" s="59" t="n">
        <v>0</v>
      </c>
      <c r="N94" s="85" t="n">
        <f aca="false">IF($B$2="Thận trọng",E94,IF($B$2="Cơ sở",H94,K94))</f>
        <v>1</v>
      </c>
      <c r="O94" s="60" t="n">
        <f aca="false">IF($B$2="Thận trọng",F94,IF($B$2="Cơ sở",I94,L94))</f>
        <v>0</v>
      </c>
      <c r="P94" s="60" t="n">
        <f aca="false">IF($B$2="Thận trọng",G94,IF($B$2="Cơ sở",J94,M94))</f>
        <v>0</v>
      </c>
      <c r="Q94" s="61" t="s">
        <v>117</v>
      </c>
      <c r="R94" s="62" t="s">
        <v>110</v>
      </c>
      <c r="S94" s="2"/>
      <c r="T94" s="2"/>
      <c r="U94" s="2"/>
      <c r="V94" s="2"/>
      <c r="W94" s="2"/>
      <c r="X94" s="2"/>
      <c r="Y94" s="2"/>
      <c r="Z94" s="2"/>
    </row>
    <row r="95" customFormat="false" ht="32.25" hidden="false" customHeight="true" outlineLevel="0" collapsed="false">
      <c r="A95" s="17" t="s">
        <v>310</v>
      </c>
      <c r="B95" s="17" t="s">
        <v>324</v>
      </c>
      <c r="C95" s="17" t="s">
        <v>325</v>
      </c>
      <c r="D95" s="17" t="s">
        <v>316</v>
      </c>
      <c r="E95" s="59" t="n">
        <v>150000000</v>
      </c>
      <c r="F95" s="59" t="n">
        <v>0</v>
      </c>
      <c r="G95" s="59" t="n">
        <v>0</v>
      </c>
      <c r="H95" s="59" t="n">
        <v>160000000</v>
      </c>
      <c r="I95" s="59" t="n">
        <v>0</v>
      </c>
      <c r="J95" s="59" t="n">
        <v>0</v>
      </c>
      <c r="K95" s="59" t="n">
        <v>170850000</v>
      </c>
      <c r="L95" s="59" t="n">
        <v>0</v>
      </c>
      <c r="M95" s="59" t="n">
        <v>0</v>
      </c>
      <c r="N95" s="85" t="n">
        <f aca="false">IF($B$2="Thận trọng",E95,IF($B$2="Cơ sở",H95,K95))</f>
        <v>160000000</v>
      </c>
      <c r="O95" s="60" t="n">
        <f aca="false">IF($B$2="Thận trọng",F95,IF($B$2="Cơ sở",I95,L95))</f>
        <v>0</v>
      </c>
      <c r="P95" s="60" t="n">
        <f aca="false">IF($B$2="Thận trọng",G95,IF($B$2="Cơ sở",J95,M95))</f>
        <v>0</v>
      </c>
      <c r="Q95" s="61" t="s">
        <v>117</v>
      </c>
      <c r="R95" s="62" t="s">
        <v>110</v>
      </c>
      <c r="S95" s="2"/>
      <c r="T95" s="2"/>
      <c r="U95" s="2"/>
      <c r="V95" s="2"/>
      <c r="W95" s="2"/>
      <c r="X95" s="2"/>
      <c r="Y95" s="2"/>
      <c r="Z95" s="2"/>
    </row>
    <row r="96" customFormat="false" ht="17.25" hidden="false" customHeight="true" outlineLevel="0" collapsed="false">
      <c r="A96" s="17" t="s">
        <v>310</v>
      </c>
      <c r="B96" s="17" t="s">
        <v>326</v>
      </c>
      <c r="C96" s="17" t="s">
        <v>327</v>
      </c>
      <c r="D96" s="17" t="s">
        <v>313</v>
      </c>
      <c r="E96" s="59" t="n">
        <v>2</v>
      </c>
      <c r="F96" s="59" t="n">
        <v>0</v>
      </c>
      <c r="G96" s="59" t="n">
        <v>0</v>
      </c>
      <c r="H96" s="59" t="n">
        <v>2</v>
      </c>
      <c r="I96" s="59" t="n">
        <v>0</v>
      </c>
      <c r="J96" s="59" t="n">
        <v>0</v>
      </c>
      <c r="K96" s="59" t="n">
        <v>2</v>
      </c>
      <c r="L96" s="59" t="n">
        <v>0</v>
      </c>
      <c r="M96" s="59" t="n">
        <v>0</v>
      </c>
      <c r="N96" s="60" t="n">
        <f aca="false">IF($B$2="Thận trọng",E96,IF($B$2="Cơ sở",H96,K96))</f>
        <v>2</v>
      </c>
      <c r="O96" s="60" t="n">
        <f aca="false">IF($B$2="Thận trọng",F96,IF($B$2="Cơ sở",I96,L96))</f>
        <v>0</v>
      </c>
      <c r="P96" s="60" t="n">
        <f aca="false">IF($B$2="Thận trọng",G96,IF($B$2="Cơ sở",J96,M96))</f>
        <v>0</v>
      </c>
      <c r="Q96" s="61" t="s">
        <v>117</v>
      </c>
      <c r="R96" s="62" t="s">
        <v>110</v>
      </c>
      <c r="S96" s="2"/>
      <c r="T96" s="2"/>
      <c r="U96" s="2"/>
      <c r="V96" s="2"/>
      <c r="W96" s="2"/>
      <c r="X96" s="2"/>
      <c r="Y96" s="2"/>
      <c r="Z96" s="2"/>
    </row>
    <row r="97" customFormat="false" ht="32.25" hidden="false" customHeight="true" outlineLevel="0" collapsed="false">
      <c r="A97" s="17" t="s">
        <v>310</v>
      </c>
      <c r="B97" s="17" t="s">
        <v>328</v>
      </c>
      <c r="C97" s="17" t="s">
        <v>329</v>
      </c>
      <c r="D97" s="17" t="s">
        <v>316</v>
      </c>
      <c r="E97" s="87" t="n">
        <v>7000000</v>
      </c>
      <c r="F97" s="87" t="n">
        <v>0</v>
      </c>
      <c r="G97" s="87" t="n">
        <v>0</v>
      </c>
      <c r="H97" s="87" t="n">
        <v>8000000</v>
      </c>
      <c r="I97" s="87" t="n">
        <v>0</v>
      </c>
      <c r="J97" s="87" t="n">
        <v>0</v>
      </c>
      <c r="K97" s="87" t="n">
        <f aca="false">'DIA_Danh Mục Đầu Tư'!$E$15</f>
        <v>11300000</v>
      </c>
      <c r="L97" s="87" t="n">
        <v>0</v>
      </c>
      <c r="M97" s="87" t="n">
        <v>0</v>
      </c>
      <c r="N97" s="85" t="n">
        <f aca="false">IF($B$2="Thận trọng",E97,IF($B$2="Cơ sở",H97,K97))</f>
        <v>8000000</v>
      </c>
      <c r="O97" s="85" t="n">
        <f aca="false">IF($B$2="Thận trọng",F97,IF($B$2="Cơ sở",I97,L97))</f>
        <v>0</v>
      </c>
      <c r="P97" s="85" t="n">
        <f aca="false">IF($B$2="Thận trọng",G97,IF($B$2="Cơ sở",J97,M97))</f>
        <v>0</v>
      </c>
      <c r="Q97" s="61" t="s">
        <v>117</v>
      </c>
      <c r="R97" s="62" t="s">
        <v>187</v>
      </c>
      <c r="S97" s="2"/>
      <c r="T97" s="2"/>
      <c r="U97" s="2"/>
      <c r="V97" s="2"/>
      <c r="W97" s="2"/>
      <c r="X97" s="2"/>
      <c r="Y97" s="2"/>
      <c r="Z97" s="2"/>
    </row>
    <row r="98" customFormat="false" ht="17.25" hidden="false" customHeight="true" outlineLevel="0" collapsed="false">
      <c r="A98" s="17" t="s">
        <v>310</v>
      </c>
      <c r="B98" s="17" t="s">
        <v>330</v>
      </c>
      <c r="C98" s="17" t="s">
        <v>331</v>
      </c>
      <c r="D98" s="17" t="s">
        <v>313</v>
      </c>
      <c r="E98" s="59" t="n">
        <v>1</v>
      </c>
      <c r="F98" s="59" t="n">
        <v>0</v>
      </c>
      <c r="G98" s="59" t="n">
        <v>0</v>
      </c>
      <c r="H98" s="59" t="n">
        <v>1</v>
      </c>
      <c r="I98" s="59" t="n">
        <v>0</v>
      </c>
      <c r="J98" s="59" t="n">
        <v>0</v>
      </c>
      <c r="K98" s="59" t="n">
        <v>1</v>
      </c>
      <c r="L98" s="59" t="n">
        <v>0</v>
      </c>
      <c r="M98" s="59" t="n">
        <v>0</v>
      </c>
      <c r="N98" s="60" t="n">
        <f aca="false">IF($B$2="Thận trọng",E98,IF($B$2="Cơ sở",H98,K98))</f>
        <v>1</v>
      </c>
      <c r="O98" s="60" t="n">
        <f aca="false">IF($B$2="Thận trọng",F98,IF($B$2="Cơ sở",I98,L98))</f>
        <v>0</v>
      </c>
      <c r="P98" s="60" t="n">
        <f aca="false">IF($B$2="Thận trọng",G98,IF($B$2="Cơ sở",J98,M98))</f>
        <v>0</v>
      </c>
      <c r="Q98" s="61" t="s">
        <v>117</v>
      </c>
      <c r="R98" s="62" t="s">
        <v>110</v>
      </c>
      <c r="S98" s="2"/>
      <c r="T98" s="2"/>
      <c r="U98" s="2"/>
      <c r="V98" s="2"/>
      <c r="W98" s="2"/>
      <c r="X98" s="2"/>
      <c r="Y98" s="2"/>
      <c r="Z98" s="2"/>
    </row>
    <row r="99" customFormat="false" ht="32.25" hidden="false" customHeight="true" outlineLevel="0" collapsed="false">
      <c r="A99" s="17" t="s">
        <v>310</v>
      </c>
      <c r="B99" s="17" t="s">
        <v>332</v>
      </c>
      <c r="C99" s="17" t="s">
        <v>333</v>
      </c>
      <c r="D99" s="17" t="s">
        <v>316</v>
      </c>
      <c r="E99" s="87" t="n">
        <v>30000000</v>
      </c>
      <c r="F99" s="87" t="n">
        <v>0</v>
      </c>
      <c r="G99" s="87" t="n">
        <v>0</v>
      </c>
      <c r="H99" s="87" t="n">
        <v>40000000</v>
      </c>
      <c r="I99" s="87" t="n">
        <v>0</v>
      </c>
      <c r="J99" s="87" t="n">
        <v>0</v>
      </c>
      <c r="K99" s="87" t="n">
        <v>50000000</v>
      </c>
      <c r="L99" s="87" t="n">
        <v>0</v>
      </c>
      <c r="M99" s="87" t="n">
        <v>0</v>
      </c>
      <c r="N99" s="85" t="n">
        <f aca="false">IF($B$2="Thận trọng",E99,IF($B$2="Cơ sở",H99,K99))</f>
        <v>40000000</v>
      </c>
      <c r="O99" s="85" t="n">
        <f aca="false">IF($B$2="Thận trọng",F99,IF($B$2="Cơ sở",I99,L99))</f>
        <v>0</v>
      </c>
      <c r="P99" s="85" t="n">
        <f aca="false">IF($B$2="Thận trọng",G99,IF($B$2="Cơ sở",J99,M99))</f>
        <v>0</v>
      </c>
      <c r="Q99" s="61" t="s">
        <v>117</v>
      </c>
      <c r="R99" s="62" t="s">
        <v>110</v>
      </c>
      <c r="S99" s="2"/>
      <c r="T99" s="2"/>
      <c r="U99" s="2"/>
      <c r="V99" s="2"/>
      <c r="W99" s="2"/>
      <c r="X99" s="2"/>
      <c r="Y99" s="2"/>
      <c r="Z99" s="2"/>
    </row>
    <row r="100" customFormat="false" ht="17.25" hidden="false" customHeight="true" outlineLevel="0" collapsed="false">
      <c r="A100" s="17" t="s">
        <v>310</v>
      </c>
      <c r="B100" s="17" t="s">
        <v>334</v>
      </c>
      <c r="C100" s="17" t="s">
        <v>335</v>
      </c>
      <c r="D100" s="17" t="s">
        <v>313</v>
      </c>
      <c r="E100" s="59" t="n">
        <v>1</v>
      </c>
      <c r="F100" s="59" t="n">
        <v>0</v>
      </c>
      <c r="G100" s="59" t="n">
        <v>0</v>
      </c>
      <c r="H100" s="59" t="n">
        <v>1</v>
      </c>
      <c r="I100" s="59" t="n">
        <v>0</v>
      </c>
      <c r="J100" s="59" t="n">
        <v>0</v>
      </c>
      <c r="K100" s="59" t="n">
        <v>1</v>
      </c>
      <c r="L100" s="59" t="n">
        <v>0</v>
      </c>
      <c r="M100" s="59" t="n">
        <v>0</v>
      </c>
      <c r="N100" s="60" t="n">
        <f aca="false">IF($B$2="Thận trọng",E100,IF($B$2="Cơ sở",H100,K100))</f>
        <v>1</v>
      </c>
      <c r="O100" s="60" t="n">
        <f aca="false">IF($B$2="Thận trọng",F100,IF($B$2="Cơ sở",I100,L100))</f>
        <v>0</v>
      </c>
      <c r="P100" s="60" t="n">
        <f aca="false">IF($B$2="Thận trọng",G100,IF($B$2="Cơ sở",J100,M100))</f>
        <v>0</v>
      </c>
      <c r="Q100" s="61" t="s">
        <v>117</v>
      </c>
      <c r="R100" s="62" t="s">
        <v>110</v>
      </c>
      <c r="S100" s="2"/>
      <c r="T100" s="2"/>
      <c r="U100" s="2"/>
      <c r="V100" s="2"/>
      <c r="W100" s="2"/>
      <c r="X100" s="2"/>
      <c r="Y100" s="2"/>
      <c r="Z100" s="2"/>
    </row>
    <row r="101" customFormat="false" ht="32.25" hidden="false" customHeight="true" outlineLevel="0" collapsed="false">
      <c r="A101" s="17" t="s">
        <v>310</v>
      </c>
      <c r="B101" s="17" t="s">
        <v>336</v>
      </c>
      <c r="C101" s="17" t="s">
        <v>337</v>
      </c>
      <c r="D101" s="17" t="s">
        <v>316</v>
      </c>
      <c r="E101" s="87" t="n">
        <v>30000000</v>
      </c>
      <c r="F101" s="87" t="n">
        <v>0</v>
      </c>
      <c r="G101" s="87" t="n">
        <v>0</v>
      </c>
      <c r="H101" s="87" t="n">
        <v>40000000</v>
      </c>
      <c r="I101" s="87" t="n">
        <v>0</v>
      </c>
      <c r="J101" s="87" t="n">
        <v>0</v>
      </c>
      <c r="K101" s="87" t="n">
        <v>50000000</v>
      </c>
      <c r="L101" s="87" t="n">
        <v>0</v>
      </c>
      <c r="M101" s="87" t="n">
        <v>0</v>
      </c>
      <c r="N101" s="85" t="n">
        <f aca="false">IF($B$2="Thận trọng",E101,IF($B$2="Cơ sở",H101,K101))</f>
        <v>40000000</v>
      </c>
      <c r="O101" s="85" t="n">
        <f aca="false">IF($B$2="Thận trọng",F101,IF($B$2="Cơ sở",I101,L101))</f>
        <v>0</v>
      </c>
      <c r="P101" s="85" t="n">
        <f aca="false">IF($B$2="Thận trọng",G101,IF($B$2="Cơ sở",J101,M101))</f>
        <v>0</v>
      </c>
      <c r="Q101" s="61" t="s">
        <v>117</v>
      </c>
      <c r="R101" s="62" t="s">
        <v>110</v>
      </c>
      <c r="S101" s="2"/>
      <c r="T101" s="2"/>
      <c r="U101" s="2"/>
      <c r="V101" s="2"/>
      <c r="W101" s="2"/>
      <c r="X101" s="2"/>
      <c r="Y101" s="2"/>
      <c r="Z101" s="2"/>
    </row>
    <row r="102" customFormat="false" ht="17.25" hidden="false" customHeight="true" outlineLevel="0" collapsed="false">
      <c r="A102" s="17" t="s">
        <v>310</v>
      </c>
      <c r="B102" s="17" t="s">
        <v>338</v>
      </c>
      <c r="C102" s="17" t="s">
        <v>339</v>
      </c>
      <c r="D102" s="17" t="s">
        <v>313</v>
      </c>
      <c r="E102" s="59" t="n">
        <v>1</v>
      </c>
      <c r="F102" s="59" t="n">
        <v>0</v>
      </c>
      <c r="G102" s="59" t="n">
        <v>0</v>
      </c>
      <c r="H102" s="59" t="n">
        <v>1</v>
      </c>
      <c r="I102" s="59" t="n">
        <v>0</v>
      </c>
      <c r="J102" s="59" t="n">
        <v>0</v>
      </c>
      <c r="K102" s="59" t="n">
        <v>1</v>
      </c>
      <c r="L102" s="59" t="n">
        <v>0</v>
      </c>
      <c r="M102" s="59" t="n">
        <v>0</v>
      </c>
      <c r="N102" s="60" t="n">
        <f aca="false">IF($B$2="Thận trọng",E102,IF($B$2="Cơ sở",H102,K102))</f>
        <v>1</v>
      </c>
      <c r="O102" s="60" t="n">
        <f aca="false">IF($B$2="Thận trọng",F102,IF($B$2="Cơ sở",I102,L102))</f>
        <v>0</v>
      </c>
      <c r="P102" s="60" t="n">
        <f aca="false">IF($B$2="Thận trọng",G102,IF($B$2="Cơ sở",J102,M102))</f>
        <v>0</v>
      </c>
      <c r="Q102" s="61" t="s">
        <v>117</v>
      </c>
      <c r="R102" s="62" t="s">
        <v>110</v>
      </c>
      <c r="S102" s="2"/>
      <c r="T102" s="2"/>
      <c r="U102" s="2"/>
      <c r="V102" s="2"/>
      <c r="W102" s="2"/>
      <c r="X102" s="2"/>
      <c r="Y102" s="2"/>
      <c r="Z102" s="2"/>
    </row>
    <row r="103" customFormat="false" ht="32.25" hidden="false" customHeight="true" outlineLevel="0" collapsed="false">
      <c r="A103" s="17" t="s">
        <v>310</v>
      </c>
      <c r="B103" s="17" t="s">
        <v>340</v>
      </c>
      <c r="C103" s="17" t="s">
        <v>341</v>
      </c>
      <c r="D103" s="17" t="s">
        <v>316</v>
      </c>
      <c r="E103" s="87" t="n">
        <v>5000000</v>
      </c>
      <c r="F103" s="87" t="n">
        <v>0</v>
      </c>
      <c r="G103" s="87" t="n">
        <v>0</v>
      </c>
      <c r="H103" s="87" t="n">
        <v>5000000</v>
      </c>
      <c r="I103" s="87" t="n">
        <v>0</v>
      </c>
      <c r="J103" s="87" t="n">
        <v>0</v>
      </c>
      <c r="K103" s="87" t="n">
        <v>5000000</v>
      </c>
      <c r="L103" s="87" t="n">
        <v>0</v>
      </c>
      <c r="M103" s="87" t="n">
        <v>0</v>
      </c>
      <c r="N103" s="85" t="n">
        <f aca="false">IF($B$2="Thận trọng",E103,IF($B$2="Cơ sở",H103,K103))</f>
        <v>5000000</v>
      </c>
      <c r="O103" s="85" t="n">
        <f aca="false">IF($B$2="Thận trọng",F103,IF($B$2="Cơ sở",I103,L103))</f>
        <v>0</v>
      </c>
      <c r="P103" s="85" t="n">
        <f aca="false">IF($B$2="Thận trọng",G103,IF($B$2="Cơ sở",J103,M103))</f>
        <v>0</v>
      </c>
      <c r="Q103" s="61" t="s">
        <v>117</v>
      </c>
      <c r="R103" s="62" t="s">
        <v>110</v>
      </c>
      <c r="S103" s="2"/>
      <c r="T103" s="2"/>
      <c r="U103" s="2"/>
      <c r="V103" s="2"/>
      <c r="W103" s="2"/>
      <c r="X103" s="2"/>
      <c r="Y103" s="2"/>
      <c r="Z103" s="2"/>
    </row>
    <row r="104" customFormat="false" ht="48" hidden="false" customHeight="true" outlineLevel="0" collapsed="false">
      <c r="A104" s="17" t="s">
        <v>310</v>
      </c>
      <c r="B104" s="17" t="s">
        <v>342</v>
      </c>
      <c r="C104" s="17" t="s">
        <v>343</v>
      </c>
      <c r="D104" s="17" t="s">
        <v>313</v>
      </c>
      <c r="E104" s="59" t="n">
        <v>1</v>
      </c>
      <c r="F104" s="59" t="n">
        <v>0</v>
      </c>
      <c r="G104" s="59" t="n">
        <v>0</v>
      </c>
      <c r="H104" s="59" t="n">
        <v>1</v>
      </c>
      <c r="I104" s="59" t="n">
        <v>0</v>
      </c>
      <c r="J104" s="59" t="n">
        <v>0</v>
      </c>
      <c r="K104" s="59" t="n">
        <v>1</v>
      </c>
      <c r="L104" s="59" t="n">
        <v>0</v>
      </c>
      <c r="M104" s="59" t="n">
        <v>0</v>
      </c>
      <c r="N104" s="60" t="n">
        <f aca="false">IF($B$2="Thận trọng",E104,IF($B$2="Cơ sở",H104,K104))</f>
        <v>1</v>
      </c>
      <c r="O104" s="60" t="n">
        <f aca="false">IF($B$2="Thận trọng",F104,IF($B$2="Cơ sở",I104,L104))</f>
        <v>0</v>
      </c>
      <c r="P104" s="60" t="n">
        <f aca="false">IF($B$2="Thận trọng",G104,IF($B$2="Cơ sở",J104,M104))</f>
        <v>0</v>
      </c>
      <c r="Q104" s="61" t="s">
        <v>344</v>
      </c>
      <c r="R104" s="62" t="s">
        <v>187</v>
      </c>
      <c r="S104" s="2"/>
      <c r="T104" s="2"/>
      <c r="U104" s="2"/>
      <c r="V104" s="2"/>
      <c r="W104" s="2"/>
      <c r="X104" s="2"/>
      <c r="Y104" s="2"/>
      <c r="Z104" s="2"/>
    </row>
    <row r="105" customFormat="false" ht="48" hidden="false" customHeight="true" outlineLevel="0" collapsed="false">
      <c r="A105" s="17" t="s">
        <v>310</v>
      </c>
      <c r="B105" s="17" t="s">
        <v>345</v>
      </c>
      <c r="C105" s="17" t="s">
        <v>346</v>
      </c>
      <c r="D105" s="17" t="s">
        <v>316</v>
      </c>
      <c r="E105" s="87" t="n">
        <v>2600000</v>
      </c>
      <c r="F105" s="87" t="n">
        <v>0</v>
      </c>
      <c r="G105" s="87" t="n">
        <v>0</v>
      </c>
      <c r="H105" s="87" t="n">
        <v>2600000</v>
      </c>
      <c r="I105" s="87" t="n">
        <v>0</v>
      </c>
      <c r="J105" s="87" t="n">
        <v>0</v>
      </c>
      <c r="K105" s="87" t="n">
        <v>2600000</v>
      </c>
      <c r="L105" s="87" t="n">
        <v>0</v>
      </c>
      <c r="M105" s="87" t="n">
        <v>0</v>
      </c>
      <c r="N105" s="85" t="n">
        <f aca="false">IF($B$2="Thận trọng",E105,IF($B$2="Cơ sở",H105,K105))</f>
        <v>2600000</v>
      </c>
      <c r="O105" s="85" t="n">
        <f aca="false">IF($B$2="Thận trọng",F105,IF($B$2="Cơ sở",I105,L105))</f>
        <v>0</v>
      </c>
      <c r="P105" s="85" t="n">
        <f aca="false">IF($B$2="Thận trọng",G105,IF($B$2="Cơ sở",J105,M105))</f>
        <v>0</v>
      </c>
      <c r="Q105" s="61" t="s">
        <v>347</v>
      </c>
      <c r="R105" s="62" t="s">
        <v>187</v>
      </c>
      <c r="S105" s="2"/>
      <c r="T105" s="2"/>
      <c r="U105" s="2"/>
      <c r="V105" s="2"/>
      <c r="W105" s="2"/>
      <c r="X105" s="2"/>
      <c r="Y105" s="2"/>
      <c r="Z105" s="2"/>
    </row>
    <row r="106" customFormat="false" ht="17.25" hidden="false" customHeight="true" outlineLevel="0" collapsed="false">
      <c r="A106" s="17" t="s">
        <v>310</v>
      </c>
      <c r="B106" s="76" t="s">
        <v>348</v>
      </c>
      <c r="C106" s="76" t="s">
        <v>349</v>
      </c>
      <c r="D106" s="17" t="s">
        <v>313</v>
      </c>
      <c r="E106" s="59" t="n">
        <v>1</v>
      </c>
      <c r="F106" s="87" t="n">
        <v>0</v>
      </c>
      <c r="G106" s="87" t="n">
        <v>0</v>
      </c>
      <c r="H106" s="59" t="n">
        <v>1</v>
      </c>
      <c r="I106" s="87" t="n">
        <v>0</v>
      </c>
      <c r="J106" s="87" t="n">
        <v>0</v>
      </c>
      <c r="K106" s="59" t="n">
        <v>1</v>
      </c>
      <c r="L106" s="93" t="n">
        <v>0</v>
      </c>
      <c r="M106" s="93" t="n">
        <v>0</v>
      </c>
      <c r="N106" s="60" t="n">
        <f aca="false">IF($B$2="Thận trọng",E106,IF($B$2="Cơ sở",H106,K106))</f>
        <v>1</v>
      </c>
      <c r="O106" s="60" t="n">
        <f aca="false">IF($B$2="Thận trọng",F106,IF($B$2="Cơ sở",I106,L106))</f>
        <v>0</v>
      </c>
      <c r="P106" s="60" t="n">
        <f aca="false">IF($B$2="Thận trọng",G106,IF($B$2="Cơ sở",J106,M106))</f>
        <v>0</v>
      </c>
      <c r="Q106" s="61" t="s">
        <v>117</v>
      </c>
      <c r="R106" s="62" t="s">
        <v>110</v>
      </c>
      <c r="S106" s="70"/>
      <c r="T106" s="70"/>
      <c r="U106" s="70"/>
      <c r="V106" s="70"/>
      <c r="W106" s="70"/>
      <c r="X106" s="70"/>
      <c r="Y106" s="70"/>
      <c r="Z106" s="2"/>
    </row>
    <row r="107" customFormat="false" ht="32.25" hidden="false" customHeight="true" outlineLevel="0" collapsed="false">
      <c r="A107" s="17" t="s">
        <v>310</v>
      </c>
      <c r="B107" s="76" t="s">
        <v>350</v>
      </c>
      <c r="C107" s="76" t="s">
        <v>351</v>
      </c>
      <c r="D107" s="17" t="s">
        <v>316</v>
      </c>
      <c r="E107" s="87" t="n">
        <v>6000000</v>
      </c>
      <c r="F107" s="87" t="n">
        <v>0</v>
      </c>
      <c r="G107" s="87" t="n">
        <v>0</v>
      </c>
      <c r="H107" s="87" t="n">
        <v>6000000</v>
      </c>
      <c r="I107" s="94" t="n">
        <v>0</v>
      </c>
      <c r="J107" s="95" t="n">
        <v>0</v>
      </c>
      <c r="K107" s="87" t="n">
        <v>6000000</v>
      </c>
      <c r="L107" s="95" t="n">
        <v>0</v>
      </c>
      <c r="M107" s="95" t="n">
        <v>0</v>
      </c>
      <c r="N107" s="85" t="n">
        <f aca="false">IF($B$2="Thận trọng",E107,IF($B$2="Cơ sở",H107,K107))</f>
        <v>6000000</v>
      </c>
      <c r="O107" s="60" t="n">
        <f aca="false">IF($B$2="Thận trọng",F107,IF($B$2="Cơ sở",I107,L107))</f>
        <v>0</v>
      </c>
      <c r="P107" s="60" t="n">
        <f aca="false">IF($B$2="Thận trọng",G107,IF($B$2="Cơ sở",J107,M107))</f>
        <v>0</v>
      </c>
      <c r="Q107" s="61" t="s">
        <v>117</v>
      </c>
      <c r="R107" s="62" t="s">
        <v>110</v>
      </c>
      <c r="S107" s="70"/>
      <c r="T107" s="70"/>
      <c r="U107" s="70"/>
      <c r="V107" s="70"/>
      <c r="W107" s="70"/>
      <c r="X107" s="70"/>
      <c r="Y107" s="70"/>
      <c r="Z107" s="2"/>
    </row>
    <row r="108" customFormat="false" ht="17.25" hidden="false" customHeight="true" outlineLevel="0" collapsed="false">
      <c r="A108" s="17" t="s">
        <v>310</v>
      </c>
      <c r="B108" s="76" t="s">
        <v>352</v>
      </c>
      <c r="C108" s="96" t="s">
        <v>353</v>
      </c>
      <c r="D108" s="17" t="s">
        <v>313</v>
      </c>
      <c r="E108" s="59" t="n">
        <v>1</v>
      </c>
      <c r="F108" s="87" t="n">
        <v>0</v>
      </c>
      <c r="G108" s="87" t="n">
        <v>0</v>
      </c>
      <c r="H108" s="59" t="n">
        <v>1</v>
      </c>
      <c r="I108" s="87" t="n">
        <v>0</v>
      </c>
      <c r="J108" s="87" t="n">
        <v>0</v>
      </c>
      <c r="K108" s="59" t="n">
        <v>1</v>
      </c>
      <c r="L108" s="93" t="n">
        <v>0</v>
      </c>
      <c r="M108" s="93" t="n">
        <v>0</v>
      </c>
      <c r="N108" s="60" t="n">
        <f aca="false">IF($B$2="Thận trọng",E108,IF($B$2="Cơ sở",H108,K108))</f>
        <v>1</v>
      </c>
      <c r="O108" s="60" t="n">
        <f aca="false">IF($B$2="Thận trọng",F108,IF($B$2="Cơ sở",I108,L108))</f>
        <v>0</v>
      </c>
      <c r="P108" s="60" t="n">
        <f aca="false">IF($B$2="Thận trọng",G108,IF($B$2="Cơ sở",J108,M108))</f>
        <v>0</v>
      </c>
      <c r="Q108" s="61" t="s">
        <v>117</v>
      </c>
      <c r="R108" s="62" t="s">
        <v>110</v>
      </c>
      <c r="S108" s="70"/>
      <c r="T108" s="70"/>
      <c r="U108" s="70"/>
      <c r="V108" s="70"/>
      <c r="W108" s="70"/>
      <c r="X108" s="70"/>
      <c r="Y108" s="70"/>
      <c r="Z108" s="2"/>
    </row>
    <row r="109" customFormat="false" ht="32.25" hidden="false" customHeight="true" outlineLevel="0" collapsed="false">
      <c r="A109" s="17" t="s">
        <v>310</v>
      </c>
      <c r="B109" s="76" t="s">
        <v>354</v>
      </c>
      <c r="C109" s="96" t="s">
        <v>355</v>
      </c>
      <c r="D109" s="17" t="s">
        <v>316</v>
      </c>
      <c r="E109" s="87" t="n">
        <v>20000000</v>
      </c>
      <c r="F109" s="87" t="n">
        <v>0</v>
      </c>
      <c r="G109" s="87" t="n">
        <v>0</v>
      </c>
      <c r="H109" s="87" t="n">
        <v>20000000</v>
      </c>
      <c r="I109" s="94" t="n">
        <v>0</v>
      </c>
      <c r="J109" s="95" t="n">
        <v>0</v>
      </c>
      <c r="K109" s="87" t="n">
        <v>20000000</v>
      </c>
      <c r="L109" s="95" t="n">
        <v>0</v>
      </c>
      <c r="M109" s="95" t="n">
        <v>0</v>
      </c>
      <c r="N109" s="85" t="n">
        <f aca="false">IF($B$2="Thận trọng",E109,IF($B$2="Cơ sở",H109,K109))</f>
        <v>20000000</v>
      </c>
      <c r="O109" s="60" t="n">
        <f aca="false">IF($B$2="Thận trọng",F109,IF($B$2="Cơ sở",I109,L109))</f>
        <v>0</v>
      </c>
      <c r="P109" s="60" t="n">
        <f aca="false">IF($B$2="Thận trọng",G109,IF($B$2="Cơ sở",J109,M109))</f>
        <v>0</v>
      </c>
      <c r="Q109" s="61" t="s">
        <v>117</v>
      </c>
      <c r="R109" s="62" t="s">
        <v>110</v>
      </c>
      <c r="S109" s="70"/>
      <c r="T109" s="70"/>
      <c r="U109" s="70"/>
      <c r="V109" s="70"/>
      <c r="W109" s="70"/>
      <c r="X109" s="70"/>
      <c r="Y109" s="70"/>
      <c r="Z109" s="2"/>
    </row>
    <row r="110" customFormat="false" ht="17.25" hidden="false" customHeight="true" outlineLevel="0" collapsed="false">
      <c r="A110" s="17" t="s">
        <v>310</v>
      </c>
      <c r="B110" s="17" t="s">
        <v>356</v>
      </c>
      <c r="C110" s="17" t="s">
        <v>357</v>
      </c>
      <c r="D110" s="17" t="s">
        <v>313</v>
      </c>
      <c r="E110" s="59" t="n">
        <v>1</v>
      </c>
      <c r="F110" s="87" t="n">
        <v>0</v>
      </c>
      <c r="G110" s="87" t="n">
        <v>0</v>
      </c>
      <c r="H110" s="59" t="n">
        <v>1</v>
      </c>
      <c r="I110" s="87" t="n">
        <v>0</v>
      </c>
      <c r="J110" s="87" t="n">
        <v>0</v>
      </c>
      <c r="K110" s="59" t="n">
        <v>1</v>
      </c>
      <c r="L110" s="93" t="n">
        <v>0</v>
      </c>
      <c r="M110" s="93" t="n">
        <v>0</v>
      </c>
      <c r="N110" s="60" t="n">
        <f aca="false">IF($B$2="Thận trọng",E110,IF($B$2="Cơ sở",H110,K110))</f>
        <v>1</v>
      </c>
      <c r="O110" s="60" t="n">
        <f aca="false">IF($B$2="Thận trọng",F110,IF($B$2="Cơ sở",I110,L110))</f>
        <v>0</v>
      </c>
      <c r="P110" s="60" t="n">
        <f aca="false">IF($B$2="Thận trọng",G110,IF($B$2="Cơ sở",J110,M110))</f>
        <v>0</v>
      </c>
      <c r="Q110" s="61" t="s">
        <v>117</v>
      </c>
      <c r="R110" s="62" t="s">
        <v>110</v>
      </c>
      <c r="S110" s="2"/>
      <c r="T110" s="2"/>
      <c r="U110" s="2"/>
      <c r="V110" s="2"/>
      <c r="W110" s="2"/>
      <c r="X110" s="2"/>
      <c r="Y110" s="2"/>
      <c r="Z110" s="2"/>
    </row>
    <row r="111" customFormat="false" ht="32.25" hidden="false" customHeight="true" outlineLevel="0" collapsed="false">
      <c r="A111" s="17" t="s">
        <v>310</v>
      </c>
      <c r="B111" s="17" t="s">
        <v>358</v>
      </c>
      <c r="C111" s="17" t="s">
        <v>359</v>
      </c>
      <c r="D111" s="17" t="s">
        <v>316</v>
      </c>
      <c r="E111" s="87" t="n">
        <v>3000000</v>
      </c>
      <c r="F111" s="87" t="n">
        <v>0</v>
      </c>
      <c r="G111" s="87" t="n">
        <v>0</v>
      </c>
      <c r="H111" s="87" t="n">
        <v>3000000</v>
      </c>
      <c r="I111" s="94" t="n">
        <v>0</v>
      </c>
      <c r="J111" s="95" t="n">
        <v>0</v>
      </c>
      <c r="K111" s="87" t="n">
        <v>3000000</v>
      </c>
      <c r="L111" s="95" t="n">
        <v>0</v>
      </c>
      <c r="M111" s="95" t="n">
        <v>0</v>
      </c>
      <c r="N111" s="85" t="n">
        <f aca="false">IF($B$2="Thận trọng",E111,IF($B$2="Cơ sở",H111,K111))</f>
        <v>3000000</v>
      </c>
      <c r="O111" s="60" t="n">
        <f aca="false">IF($B$2="Thận trọng",F111,IF($B$2="Cơ sở",I111,L111))</f>
        <v>0</v>
      </c>
      <c r="P111" s="60" t="n">
        <f aca="false">IF($B$2="Thận trọng",G111,IF($B$2="Cơ sở",J111,M111))</f>
        <v>0</v>
      </c>
      <c r="Q111" s="61" t="s">
        <v>117</v>
      </c>
      <c r="R111" s="62" t="s">
        <v>110</v>
      </c>
      <c r="S111" s="2"/>
      <c r="T111" s="2"/>
      <c r="U111" s="2"/>
      <c r="V111" s="2"/>
      <c r="W111" s="2"/>
      <c r="X111" s="2"/>
      <c r="Y111" s="2"/>
      <c r="Z111" s="2"/>
    </row>
    <row r="112" customFormat="false" ht="32.25" hidden="false" customHeight="true" outlineLevel="0" collapsed="false">
      <c r="A112" s="17" t="s">
        <v>310</v>
      </c>
      <c r="B112" s="17" t="s">
        <v>360</v>
      </c>
      <c r="C112" s="17" t="s">
        <v>361</v>
      </c>
      <c r="D112" s="17" t="s">
        <v>313</v>
      </c>
      <c r="E112" s="59" t="n">
        <v>1</v>
      </c>
      <c r="F112" s="87" t="n">
        <v>0</v>
      </c>
      <c r="G112" s="87" t="n">
        <v>0</v>
      </c>
      <c r="H112" s="59" t="n">
        <v>1</v>
      </c>
      <c r="I112" s="87" t="n">
        <v>0</v>
      </c>
      <c r="J112" s="87" t="n">
        <v>0</v>
      </c>
      <c r="K112" s="59" t="n">
        <v>1</v>
      </c>
      <c r="L112" s="93" t="n">
        <v>0</v>
      </c>
      <c r="M112" s="93" t="n">
        <v>0</v>
      </c>
      <c r="N112" s="60" t="n">
        <f aca="false">IF($B$2="Thận trọng",E112,IF($B$2="Cơ sở",H112,K112))</f>
        <v>1</v>
      </c>
      <c r="O112" s="60" t="n">
        <f aca="false">IF($B$2="Thận trọng",F112,IF($B$2="Cơ sở",I112,L112))</f>
        <v>0</v>
      </c>
      <c r="P112" s="60" t="n">
        <f aca="false">IF($B$2="Thận trọng",G112,IF($B$2="Cơ sở",J112,M112))</f>
        <v>0</v>
      </c>
      <c r="Q112" s="61" t="s">
        <v>117</v>
      </c>
      <c r="R112" s="62" t="s">
        <v>110</v>
      </c>
      <c r="S112" s="2"/>
      <c r="T112" s="2"/>
      <c r="U112" s="2"/>
      <c r="V112" s="2"/>
      <c r="W112" s="2"/>
      <c r="X112" s="2"/>
      <c r="Y112" s="2"/>
      <c r="Z112" s="2"/>
    </row>
    <row r="113" customFormat="false" ht="32.25" hidden="false" customHeight="true" outlineLevel="0" collapsed="false">
      <c r="A113" s="17" t="s">
        <v>310</v>
      </c>
      <c r="B113" s="17" t="s">
        <v>362</v>
      </c>
      <c r="C113" s="17" t="s">
        <v>363</v>
      </c>
      <c r="D113" s="17" t="s">
        <v>316</v>
      </c>
      <c r="E113" s="87" t="n">
        <v>2000000</v>
      </c>
      <c r="F113" s="87" t="n">
        <v>0</v>
      </c>
      <c r="G113" s="87" t="n">
        <v>0</v>
      </c>
      <c r="H113" s="87" t="n">
        <v>2000000</v>
      </c>
      <c r="I113" s="94" t="n">
        <v>0</v>
      </c>
      <c r="J113" s="95" t="n">
        <v>0</v>
      </c>
      <c r="K113" s="87" t="n">
        <v>2000000</v>
      </c>
      <c r="L113" s="95" t="n">
        <v>0</v>
      </c>
      <c r="M113" s="95" t="n">
        <v>0</v>
      </c>
      <c r="N113" s="85" t="n">
        <f aca="false">IF($B$2="Thận trọng",E113,IF($B$2="Cơ sở",H113,K113))</f>
        <v>2000000</v>
      </c>
      <c r="O113" s="60" t="n">
        <f aca="false">IF($B$2="Thận trọng",F113,IF($B$2="Cơ sở",I113,L113))</f>
        <v>0</v>
      </c>
      <c r="P113" s="60" t="n">
        <f aca="false">IF($B$2="Thận trọng",G113,IF($B$2="Cơ sở",J113,M113))</f>
        <v>0</v>
      </c>
      <c r="Q113" s="61" t="s">
        <v>117</v>
      </c>
      <c r="R113" s="62" t="s">
        <v>110</v>
      </c>
      <c r="S113" s="2"/>
      <c r="T113" s="2"/>
      <c r="U113" s="2"/>
      <c r="V113" s="2"/>
      <c r="W113" s="2"/>
      <c r="X113" s="2"/>
      <c r="Y113" s="2"/>
      <c r="Z113" s="2"/>
    </row>
    <row r="114" customFormat="false" ht="17.25" hidden="false" customHeight="true" outlineLevel="0" collapsed="false">
      <c r="A114" s="17" t="s">
        <v>310</v>
      </c>
      <c r="B114" s="17" t="s">
        <v>364</v>
      </c>
      <c r="C114" s="17" t="s">
        <v>365</v>
      </c>
      <c r="D114" s="17" t="s">
        <v>313</v>
      </c>
      <c r="E114" s="59" t="n">
        <v>5</v>
      </c>
      <c r="F114" s="59" t="n">
        <v>0</v>
      </c>
      <c r="G114" s="59" t="n">
        <v>0</v>
      </c>
      <c r="H114" s="59" t="n">
        <v>5</v>
      </c>
      <c r="I114" s="59" t="n">
        <v>0</v>
      </c>
      <c r="J114" s="59" t="n">
        <v>0</v>
      </c>
      <c r="K114" s="59" t="n">
        <v>5</v>
      </c>
      <c r="L114" s="59" t="n">
        <v>0</v>
      </c>
      <c r="M114" s="59" t="n">
        <v>0</v>
      </c>
      <c r="N114" s="60" t="n">
        <f aca="false">IF($B$2="Thận trọng",E114,IF($B$2="Cơ sở",H114,K114))</f>
        <v>5</v>
      </c>
      <c r="O114" s="60" t="n">
        <f aca="false">IF($B$2="Thận trọng",F114,IF($B$2="Cơ sở",I114,L114))</f>
        <v>0</v>
      </c>
      <c r="P114" s="60" t="n">
        <f aca="false">IF($B$2="Thận trọng",G114,IF($B$2="Cơ sở",J114,M114))</f>
        <v>0</v>
      </c>
      <c r="Q114" s="61" t="s">
        <v>117</v>
      </c>
      <c r="R114" s="62" t="s">
        <v>110</v>
      </c>
      <c r="S114" s="2"/>
      <c r="T114" s="2"/>
      <c r="U114" s="2"/>
      <c r="V114" s="2"/>
      <c r="W114" s="2"/>
      <c r="X114" s="2"/>
      <c r="Y114" s="2"/>
      <c r="Z114" s="2"/>
    </row>
    <row r="115" customFormat="false" ht="32.25" hidden="false" customHeight="true" outlineLevel="0" collapsed="false">
      <c r="A115" s="17" t="s">
        <v>310</v>
      </c>
      <c r="B115" s="17" t="s">
        <v>366</v>
      </c>
      <c r="C115" s="17" t="s">
        <v>367</v>
      </c>
      <c r="D115" s="17" t="s">
        <v>316</v>
      </c>
      <c r="E115" s="87" t="n">
        <f aca="false">E130</f>
        <v>23100000</v>
      </c>
      <c r="F115" s="87" t="n">
        <v>0</v>
      </c>
      <c r="G115" s="87" t="n">
        <v>0</v>
      </c>
      <c r="H115" s="87" t="n">
        <f aca="false">H130</f>
        <v>24700000</v>
      </c>
      <c r="I115" s="87" t="n">
        <v>0</v>
      </c>
      <c r="J115" s="87" t="n">
        <v>0</v>
      </c>
      <c r="K115" s="87" t="n">
        <f aca="false">K130</f>
        <v>27000000</v>
      </c>
      <c r="L115" s="87" t="n">
        <v>0</v>
      </c>
      <c r="M115" s="87" t="n">
        <v>0</v>
      </c>
      <c r="N115" s="85" t="n">
        <f aca="false">IF($B$2="Thận trọng",E115,IF($B$2="Cơ sở",H115,K115))</f>
        <v>24700000</v>
      </c>
      <c r="O115" s="85" t="n">
        <f aca="false">IF($B$2="Thận trọng",F115,IF($B$2="Cơ sở",I115,L115))</f>
        <v>0</v>
      </c>
      <c r="P115" s="85" t="n">
        <f aca="false">IF($B$2="Thận trọng",G115,IF($B$2="Cơ sở",J115,M115))</f>
        <v>0</v>
      </c>
      <c r="Q115" s="61" t="s">
        <v>117</v>
      </c>
      <c r="R115" s="62" t="s">
        <v>110</v>
      </c>
      <c r="S115" s="2"/>
      <c r="T115" s="2"/>
      <c r="U115" s="2"/>
      <c r="V115" s="2"/>
      <c r="W115" s="2"/>
      <c r="X115" s="2"/>
      <c r="Y115" s="2"/>
      <c r="Z115" s="2"/>
    </row>
    <row r="116" customFormat="false" ht="17.25" hidden="false" customHeight="true" outlineLevel="0" collapsed="false">
      <c r="A116" s="17" t="s">
        <v>310</v>
      </c>
      <c r="B116" s="17" t="s">
        <v>368</v>
      </c>
      <c r="C116" s="17" t="s">
        <v>369</v>
      </c>
      <c r="D116" s="17" t="s">
        <v>313</v>
      </c>
      <c r="E116" s="59" t="n">
        <v>1</v>
      </c>
      <c r="F116" s="59" t="n">
        <v>0</v>
      </c>
      <c r="G116" s="59" t="n">
        <v>0</v>
      </c>
      <c r="H116" s="59" t="n">
        <v>1</v>
      </c>
      <c r="I116" s="59" t="n">
        <v>0</v>
      </c>
      <c r="J116" s="59" t="n">
        <v>0</v>
      </c>
      <c r="K116" s="59" t="n">
        <v>1</v>
      </c>
      <c r="L116" s="59" t="n">
        <v>0</v>
      </c>
      <c r="M116" s="59" t="n">
        <v>0</v>
      </c>
      <c r="N116" s="60" t="n">
        <f aca="false">IF($B$2="Thận trọng",E116,IF($B$2="Cơ sở",H116,K116))</f>
        <v>1</v>
      </c>
      <c r="O116" s="60" t="n">
        <f aca="false">IF($B$2="Thận trọng",F116,IF($B$2="Cơ sở",I116,L116))</f>
        <v>0</v>
      </c>
      <c r="P116" s="60" t="n">
        <f aca="false">IF($B$2="Thận trọng",G116,IF($B$2="Cơ sở",J116,M116))</f>
        <v>0</v>
      </c>
      <c r="Q116" s="61" t="s">
        <v>117</v>
      </c>
      <c r="R116" s="62" t="s">
        <v>110</v>
      </c>
      <c r="S116" s="2"/>
      <c r="T116" s="2"/>
      <c r="U116" s="2"/>
      <c r="V116" s="2"/>
      <c r="W116" s="2"/>
      <c r="X116" s="2"/>
      <c r="Y116" s="2"/>
      <c r="Z116" s="2"/>
    </row>
    <row r="117" customFormat="false" ht="32.25" hidden="false" customHeight="true" outlineLevel="0" collapsed="false">
      <c r="A117" s="17" t="s">
        <v>310</v>
      </c>
      <c r="B117" s="17" t="s">
        <v>370</v>
      </c>
      <c r="C117" s="17" t="s">
        <v>371</v>
      </c>
      <c r="D117" s="17" t="s">
        <v>316</v>
      </c>
      <c r="E117" s="87" t="n">
        <f aca="false">E132</f>
        <v>15500000</v>
      </c>
      <c r="F117" s="87" t="n">
        <v>0</v>
      </c>
      <c r="G117" s="87" t="n">
        <v>0</v>
      </c>
      <c r="H117" s="87" t="n">
        <f aca="false">H132</f>
        <v>16300000</v>
      </c>
      <c r="I117" s="87" t="n">
        <v>0</v>
      </c>
      <c r="J117" s="87" t="n">
        <v>0</v>
      </c>
      <c r="K117" s="87" t="n">
        <f aca="false">K132</f>
        <v>18000000</v>
      </c>
      <c r="L117" s="87" t="n">
        <v>0</v>
      </c>
      <c r="M117" s="87" t="n">
        <v>0</v>
      </c>
      <c r="N117" s="85" t="n">
        <f aca="false">IF($B$2="Thận trọng",E117,IF($B$2="Cơ sở",H117,K117))</f>
        <v>16300000</v>
      </c>
      <c r="O117" s="85" t="n">
        <f aca="false">IF($B$2="Thận trọng",F117,IF($B$2="Cơ sở",I117,L117))</f>
        <v>0</v>
      </c>
      <c r="P117" s="85" t="n">
        <f aca="false">IF($B$2="Thận trọng",G117,IF($B$2="Cơ sở",J117,M117))</f>
        <v>0</v>
      </c>
      <c r="Q117" s="61" t="s">
        <v>117</v>
      </c>
      <c r="R117" s="62" t="s">
        <v>110</v>
      </c>
      <c r="S117" s="2"/>
      <c r="T117" s="2"/>
      <c r="U117" s="2"/>
      <c r="V117" s="2"/>
      <c r="W117" s="2"/>
      <c r="X117" s="2"/>
      <c r="Y117" s="2"/>
      <c r="Z117" s="2"/>
    </row>
    <row r="118" customFormat="false" ht="17.25" hidden="false" customHeight="true" outlineLevel="0" collapsed="false">
      <c r="A118" s="17" t="s">
        <v>310</v>
      </c>
      <c r="B118" s="17" t="s">
        <v>372</v>
      </c>
      <c r="C118" s="17" t="s">
        <v>373</v>
      </c>
      <c r="D118" s="17" t="s">
        <v>313</v>
      </c>
      <c r="E118" s="59" t="n">
        <v>1</v>
      </c>
      <c r="F118" s="59" t="n">
        <v>0</v>
      </c>
      <c r="G118" s="59" t="n">
        <v>0</v>
      </c>
      <c r="H118" s="59" t="n">
        <v>1</v>
      </c>
      <c r="I118" s="59" t="n">
        <v>0</v>
      </c>
      <c r="J118" s="59" t="n">
        <v>0</v>
      </c>
      <c r="K118" s="59" t="n">
        <v>1</v>
      </c>
      <c r="L118" s="59" t="n">
        <v>0</v>
      </c>
      <c r="M118" s="59" t="n">
        <v>0</v>
      </c>
      <c r="N118" s="60" t="n">
        <f aca="false">IF($B$2="Thận trọng",E118,IF($B$2="Cơ sở",H118,K118))</f>
        <v>1</v>
      </c>
      <c r="O118" s="60" t="n">
        <f aca="false">IF($B$2="Thận trọng",F118,IF($B$2="Cơ sở",I118,L118))</f>
        <v>0</v>
      </c>
      <c r="P118" s="60" t="n">
        <f aca="false">IF($B$2="Thận trọng",G118,IF($B$2="Cơ sở",J118,M118))</f>
        <v>0</v>
      </c>
      <c r="Q118" s="61" t="s">
        <v>117</v>
      </c>
      <c r="R118" s="62" t="s">
        <v>110</v>
      </c>
      <c r="S118" s="2"/>
      <c r="T118" s="2"/>
      <c r="U118" s="2"/>
      <c r="V118" s="2"/>
      <c r="W118" s="2"/>
      <c r="X118" s="2"/>
      <c r="Y118" s="2"/>
      <c r="Z118" s="2"/>
    </row>
    <row r="119" customFormat="false" ht="32.25" hidden="false" customHeight="true" outlineLevel="0" collapsed="false">
      <c r="A119" s="17" t="s">
        <v>310</v>
      </c>
      <c r="B119" s="17" t="s">
        <v>374</v>
      </c>
      <c r="C119" s="17" t="s">
        <v>375</v>
      </c>
      <c r="D119" s="17" t="s">
        <v>316</v>
      </c>
      <c r="E119" s="87" t="n">
        <v>60000000</v>
      </c>
      <c r="F119" s="87" t="n">
        <v>0</v>
      </c>
      <c r="G119" s="87" t="n">
        <v>0</v>
      </c>
      <c r="H119" s="87" t="n">
        <v>80000000</v>
      </c>
      <c r="I119" s="87" t="n">
        <v>0</v>
      </c>
      <c r="J119" s="87" t="n">
        <v>0</v>
      </c>
      <c r="K119" s="87" t="n">
        <v>100000000</v>
      </c>
      <c r="L119" s="87" t="n">
        <v>0</v>
      </c>
      <c r="M119" s="87" t="n">
        <v>0</v>
      </c>
      <c r="N119" s="85" t="n">
        <f aca="false">IF($B$2="Thận trọng",E119,IF($B$2="Cơ sở",H119,K119))</f>
        <v>80000000</v>
      </c>
      <c r="O119" s="85" t="n">
        <f aca="false">IF($B$2="Thận trọng",F119,IF($B$2="Cơ sở",I119,L119))</f>
        <v>0</v>
      </c>
      <c r="P119" s="85" t="n">
        <f aca="false">IF($B$2="Thận trọng",G119,IF($B$2="Cơ sở",J119,M119))</f>
        <v>0</v>
      </c>
      <c r="Q119" s="61" t="s">
        <v>117</v>
      </c>
      <c r="R119" s="62" t="s">
        <v>110</v>
      </c>
      <c r="S119" s="2"/>
      <c r="T119" s="2"/>
      <c r="U119" s="2"/>
      <c r="V119" s="2"/>
      <c r="W119" s="2"/>
      <c r="X119" s="2"/>
      <c r="Y119" s="2"/>
      <c r="Z119" s="2"/>
    </row>
    <row r="120" customFormat="false" ht="32.25" hidden="false" customHeight="true" outlineLevel="0" collapsed="false">
      <c r="A120" s="17" t="s">
        <v>310</v>
      </c>
      <c r="B120" s="17" t="s">
        <v>376</v>
      </c>
      <c r="C120" s="17" t="s">
        <v>377</v>
      </c>
      <c r="D120" s="17" t="s">
        <v>313</v>
      </c>
      <c r="E120" s="59" t="n">
        <v>1</v>
      </c>
      <c r="F120" s="59" t="n">
        <v>0</v>
      </c>
      <c r="G120" s="59" t="n">
        <v>0</v>
      </c>
      <c r="H120" s="59" t="n">
        <v>1</v>
      </c>
      <c r="I120" s="59" t="n">
        <v>0</v>
      </c>
      <c r="J120" s="59" t="n">
        <v>0</v>
      </c>
      <c r="K120" s="59" t="n">
        <v>1</v>
      </c>
      <c r="L120" s="59" t="n">
        <v>0</v>
      </c>
      <c r="M120" s="59" t="n">
        <v>0</v>
      </c>
      <c r="N120" s="60" t="n">
        <f aca="false">IF($B$2="Thận trọng",E120,IF($B$2="Cơ sở",H120,K120))</f>
        <v>1</v>
      </c>
      <c r="O120" s="60" t="n">
        <f aca="false">IF($B$2="Thận trọng",F120,IF($B$2="Cơ sở",I120,L120))</f>
        <v>0</v>
      </c>
      <c r="P120" s="60" t="n">
        <f aca="false">IF($B$2="Thận trọng",G120,IF($B$2="Cơ sở",J120,M120))</f>
        <v>0</v>
      </c>
      <c r="Q120" s="61" t="s">
        <v>117</v>
      </c>
      <c r="R120" s="62" t="s">
        <v>110</v>
      </c>
      <c r="S120" s="2"/>
      <c r="T120" s="2"/>
      <c r="U120" s="2"/>
      <c r="V120" s="2"/>
      <c r="W120" s="2"/>
      <c r="X120" s="2"/>
      <c r="Y120" s="2"/>
      <c r="Z120" s="2"/>
    </row>
    <row r="121" customFormat="false" ht="32.25" hidden="false" customHeight="true" outlineLevel="0" collapsed="false">
      <c r="A121" s="17" t="s">
        <v>310</v>
      </c>
      <c r="B121" s="17" t="s">
        <v>378</v>
      </c>
      <c r="C121" s="17" t="s">
        <v>379</v>
      </c>
      <c r="D121" s="17" t="s">
        <v>316</v>
      </c>
      <c r="E121" s="87" t="n">
        <v>100000000</v>
      </c>
      <c r="F121" s="87" t="n">
        <v>0</v>
      </c>
      <c r="G121" s="87" t="n">
        <v>0</v>
      </c>
      <c r="H121" s="87" t="n">
        <v>150000000</v>
      </c>
      <c r="I121" s="87" t="n">
        <v>0</v>
      </c>
      <c r="J121" s="87" t="n">
        <v>0</v>
      </c>
      <c r="K121" s="87" t="n">
        <v>200000000</v>
      </c>
      <c r="L121" s="87" t="n">
        <v>0</v>
      </c>
      <c r="M121" s="87" t="n">
        <v>0</v>
      </c>
      <c r="N121" s="85" t="n">
        <f aca="false">IF($B$2="Thận trọng",E121,IF($B$2="Cơ sở",H121,K121))</f>
        <v>150000000</v>
      </c>
      <c r="O121" s="85" t="n">
        <f aca="false">IF($B$2="Thận trọng",F121,IF($B$2="Cơ sở",I121,L121))</f>
        <v>0</v>
      </c>
      <c r="P121" s="85" t="n">
        <f aca="false">IF($B$2="Thận trọng",G121,IF($B$2="Cơ sở",J121,M121))</f>
        <v>0</v>
      </c>
      <c r="Q121" s="61" t="s">
        <v>117</v>
      </c>
      <c r="R121" s="62" t="s">
        <v>110</v>
      </c>
      <c r="S121" s="2"/>
      <c r="T121" s="2"/>
      <c r="U121" s="2"/>
      <c r="V121" s="2"/>
      <c r="W121" s="2"/>
      <c r="X121" s="2"/>
      <c r="Y121" s="2"/>
      <c r="Z121" s="2"/>
    </row>
    <row r="122" customFormat="false" ht="17.25" hidden="false" customHeight="true" outlineLevel="0" collapsed="false">
      <c r="A122" s="17" t="s">
        <v>310</v>
      </c>
      <c r="B122" s="17" t="s">
        <v>380</v>
      </c>
      <c r="C122" s="17" t="s">
        <v>381</v>
      </c>
      <c r="D122" s="17" t="s">
        <v>313</v>
      </c>
      <c r="E122" s="59" t="n">
        <v>1</v>
      </c>
      <c r="F122" s="59" t="n">
        <v>0</v>
      </c>
      <c r="G122" s="59" t="n">
        <v>0</v>
      </c>
      <c r="H122" s="59" t="n">
        <v>1</v>
      </c>
      <c r="I122" s="59" t="n">
        <v>0</v>
      </c>
      <c r="J122" s="59" t="n">
        <v>0</v>
      </c>
      <c r="K122" s="59" t="n">
        <v>1</v>
      </c>
      <c r="L122" s="59" t="n">
        <v>0</v>
      </c>
      <c r="M122" s="59" t="n">
        <v>0</v>
      </c>
      <c r="N122" s="60" t="n">
        <f aca="false">IF($B$2="Thận trọng",E122,IF($B$2="Cơ sở",H122,K122))</f>
        <v>1</v>
      </c>
      <c r="O122" s="60" t="n">
        <f aca="false">IF($B$2="Thận trọng",F122,IF($B$2="Cơ sở",I122,L122))</f>
        <v>0</v>
      </c>
      <c r="P122" s="60" t="n">
        <f aca="false">IF($B$2="Thận trọng",G122,IF($B$2="Cơ sở",J122,M122))</f>
        <v>0</v>
      </c>
      <c r="Q122" s="61" t="s">
        <v>117</v>
      </c>
      <c r="R122" s="62" t="s">
        <v>110</v>
      </c>
      <c r="S122" s="2"/>
      <c r="T122" s="2"/>
      <c r="U122" s="2"/>
      <c r="V122" s="2"/>
      <c r="W122" s="2"/>
      <c r="X122" s="2"/>
      <c r="Y122" s="2"/>
      <c r="Z122" s="2"/>
    </row>
    <row r="123" customFormat="false" ht="32.25" hidden="false" customHeight="true" outlineLevel="0" collapsed="false">
      <c r="A123" s="17" t="s">
        <v>310</v>
      </c>
      <c r="B123" s="17" t="s">
        <v>382</v>
      </c>
      <c r="C123" s="17" t="s">
        <v>383</v>
      </c>
      <c r="D123" s="17" t="s">
        <v>316</v>
      </c>
      <c r="E123" s="87" t="n">
        <v>15000000</v>
      </c>
      <c r="F123" s="87" t="n">
        <v>0</v>
      </c>
      <c r="G123" s="87" t="n">
        <v>0</v>
      </c>
      <c r="H123" s="87" t="n">
        <v>20000000</v>
      </c>
      <c r="I123" s="87" t="n">
        <v>0</v>
      </c>
      <c r="J123" s="87" t="n">
        <v>0</v>
      </c>
      <c r="K123" s="87" t="n">
        <v>25000000</v>
      </c>
      <c r="L123" s="87" t="n">
        <v>0</v>
      </c>
      <c r="M123" s="87" t="n">
        <v>0</v>
      </c>
      <c r="N123" s="85" t="n">
        <f aca="false">IF($B$2="Thận trọng",E123,IF($B$2="Cơ sở",H123,K123))</f>
        <v>20000000</v>
      </c>
      <c r="O123" s="85" t="n">
        <f aca="false">IF($B$2="Thận trọng",F123,IF($B$2="Cơ sở",I123,L123))</f>
        <v>0</v>
      </c>
      <c r="P123" s="85" t="n">
        <f aca="false">IF($B$2="Thận trọng",G123,IF($B$2="Cơ sở",J123,M123))</f>
        <v>0</v>
      </c>
      <c r="Q123" s="61" t="s">
        <v>117</v>
      </c>
      <c r="R123" s="62" t="s">
        <v>110</v>
      </c>
      <c r="S123" s="2"/>
      <c r="T123" s="2"/>
      <c r="U123" s="2"/>
      <c r="V123" s="2"/>
      <c r="W123" s="2"/>
      <c r="X123" s="2"/>
      <c r="Y123" s="2"/>
      <c r="Z123" s="2"/>
    </row>
    <row r="124" customFormat="false" ht="17.25" hidden="false" customHeight="true" outlineLevel="0" collapsed="false">
      <c r="A124" s="17" t="s">
        <v>310</v>
      </c>
      <c r="B124" s="17" t="s">
        <v>384</v>
      </c>
      <c r="C124" s="17" t="s">
        <v>385</v>
      </c>
      <c r="D124" s="17" t="s">
        <v>313</v>
      </c>
      <c r="E124" s="59" t="n">
        <v>1</v>
      </c>
      <c r="F124" s="59" t="n">
        <v>0</v>
      </c>
      <c r="G124" s="59" t="n">
        <v>0</v>
      </c>
      <c r="H124" s="59" t="n">
        <v>1</v>
      </c>
      <c r="I124" s="59" t="n">
        <v>0</v>
      </c>
      <c r="J124" s="59" t="n">
        <v>0</v>
      </c>
      <c r="K124" s="59" t="n">
        <v>1</v>
      </c>
      <c r="L124" s="59" t="n">
        <v>0</v>
      </c>
      <c r="M124" s="59" t="n">
        <v>0</v>
      </c>
      <c r="N124" s="60" t="n">
        <f aca="false">IF($B$2="Thận trọng",E124,IF($B$2="Cơ sở",H124,K124))</f>
        <v>1</v>
      </c>
      <c r="O124" s="60" t="n">
        <f aca="false">IF($B$2="Thận trọng",F124,IF($B$2="Cơ sở",I124,L124))</f>
        <v>0</v>
      </c>
      <c r="P124" s="60" t="n">
        <f aca="false">IF($B$2="Thận trọng",G124,IF($B$2="Cơ sở",J124,M124))</f>
        <v>0</v>
      </c>
      <c r="Q124" s="61" t="s">
        <v>117</v>
      </c>
      <c r="R124" s="62" t="s">
        <v>110</v>
      </c>
      <c r="S124" s="2"/>
      <c r="T124" s="2"/>
      <c r="U124" s="2"/>
      <c r="V124" s="2"/>
      <c r="W124" s="2"/>
      <c r="X124" s="2"/>
      <c r="Y124" s="2"/>
      <c r="Z124" s="2"/>
    </row>
    <row r="125" customFormat="false" ht="48" hidden="false" customHeight="true" outlineLevel="0" collapsed="false">
      <c r="A125" s="17" t="s">
        <v>310</v>
      </c>
      <c r="B125" s="17" t="s">
        <v>386</v>
      </c>
      <c r="C125" s="17" t="s">
        <v>387</v>
      </c>
      <c r="D125" s="17" t="s">
        <v>316</v>
      </c>
      <c r="E125" s="87" t="n">
        <v>255000000</v>
      </c>
      <c r="F125" s="87" t="n">
        <v>0</v>
      </c>
      <c r="G125" s="87" t="n">
        <v>0</v>
      </c>
      <c r="H125" s="87" t="n">
        <v>300000000</v>
      </c>
      <c r="I125" s="87" t="n">
        <v>0</v>
      </c>
      <c r="J125" s="87" t="n">
        <v>0</v>
      </c>
      <c r="K125" s="87" t="n">
        <v>360000000</v>
      </c>
      <c r="L125" s="87" t="n">
        <v>0</v>
      </c>
      <c r="M125" s="87" t="n">
        <v>0</v>
      </c>
      <c r="N125" s="85" t="n">
        <f aca="false">IF($B$2="Thận trọng",E125,IF($B$2="Cơ sở",H125,K125))</f>
        <v>300000000</v>
      </c>
      <c r="O125" s="85" t="n">
        <f aca="false">IF($B$2="Thận trọng",F125,IF($B$2="Cơ sở",I125,L125))</f>
        <v>0</v>
      </c>
      <c r="P125" s="85" t="n">
        <f aca="false">IF($B$2="Thận trọng",G125,IF($B$2="Cơ sở",J125,M125))</f>
        <v>0</v>
      </c>
      <c r="Q125" s="61" t="s">
        <v>388</v>
      </c>
      <c r="R125" s="62" t="s">
        <v>389</v>
      </c>
      <c r="S125" s="2"/>
      <c r="T125" s="2"/>
      <c r="U125" s="2"/>
      <c r="V125" s="2"/>
      <c r="W125" s="2"/>
      <c r="X125" s="2"/>
      <c r="Y125" s="2"/>
      <c r="Z125" s="2"/>
    </row>
    <row r="126" customFormat="false" ht="17.25" hidden="false" customHeight="true" outlineLevel="0" collapsed="false">
      <c r="A126" s="17" t="s">
        <v>310</v>
      </c>
      <c r="B126" s="17" t="s">
        <v>390</v>
      </c>
      <c r="C126" s="17" t="s">
        <v>391</v>
      </c>
      <c r="D126" s="17" t="s">
        <v>313</v>
      </c>
      <c r="E126" s="59" t="n">
        <v>1</v>
      </c>
      <c r="F126" s="59" t="n">
        <v>0</v>
      </c>
      <c r="G126" s="59" t="n">
        <v>0</v>
      </c>
      <c r="H126" s="59" t="n">
        <v>1</v>
      </c>
      <c r="I126" s="59" t="n">
        <v>0</v>
      </c>
      <c r="J126" s="59" t="n">
        <v>0</v>
      </c>
      <c r="K126" s="59" t="n">
        <v>1</v>
      </c>
      <c r="L126" s="59" t="n">
        <v>0</v>
      </c>
      <c r="M126" s="59" t="n">
        <v>0</v>
      </c>
      <c r="N126" s="60" t="n">
        <f aca="false">IF($B$2="Thận trọng",E126,IF($B$2="Cơ sở",H126,K126))</f>
        <v>1</v>
      </c>
      <c r="O126" s="60" t="n">
        <f aca="false">IF($B$2="Thận trọng",F126,IF($B$2="Cơ sở",I126,L126))</f>
        <v>0</v>
      </c>
      <c r="P126" s="60" t="n">
        <f aca="false">IF($B$2="Thận trọng",G126,IF($B$2="Cơ sở",J126,M126))</f>
        <v>0</v>
      </c>
      <c r="Q126" s="61" t="s">
        <v>117</v>
      </c>
      <c r="R126" s="62" t="s">
        <v>110</v>
      </c>
      <c r="S126" s="2"/>
      <c r="T126" s="2"/>
      <c r="U126" s="2"/>
      <c r="V126" s="2"/>
      <c r="W126" s="2"/>
      <c r="X126" s="2"/>
      <c r="Y126" s="2"/>
      <c r="Z126" s="2"/>
    </row>
    <row r="127" customFormat="false" ht="32.25" hidden="false" customHeight="true" outlineLevel="0" collapsed="false">
      <c r="A127" s="17" t="s">
        <v>310</v>
      </c>
      <c r="B127" s="17" t="s">
        <v>392</v>
      </c>
      <c r="C127" s="17" t="s">
        <v>393</v>
      </c>
      <c r="D127" s="17" t="s">
        <v>316</v>
      </c>
      <c r="E127" s="87" t="n">
        <v>200000000</v>
      </c>
      <c r="F127" s="87" t="n">
        <v>0</v>
      </c>
      <c r="G127" s="87" t="n">
        <v>0</v>
      </c>
      <c r="H127" s="87" t="n">
        <v>300000000</v>
      </c>
      <c r="I127" s="87" t="n">
        <v>0</v>
      </c>
      <c r="J127" s="87" t="n">
        <v>0</v>
      </c>
      <c r="K127" s="87" t="n">
        <v>400000000</v>
      </c>
      <c r="L127" s="87" t="n">
        <v>0</v>
      </c>
      <c r="M127" s="87" t="n">
        <v>0</v>
      </c>
      <c r="N127" s="85" t="n">
        <f aca="false">IF($B$2="Thận trọng",E127,IF($B$2="Cơ sở",H127,K127))</f>
        <v>300000000</v>
      </c>
      <c r="O127" s="85" t="n">
        <f aca="false">IF($B$2="Thận trọng",F127,IF($B$2="Cơ sở",I127,L127))</f>
        <v>0</v>
      </c>
      <c r="P127" s="85" t="n">
        <f aca="false">IF($B$2="Thận trọng",G127,IF($B$2="Cơ sở",J127,M127))</f>
        <v>0</v>
      </c>
      <c r="Q127" s="61" t="s">
        <v>117</v>
      </c>
      <c r="R127" s="62" t="s">
        <v>110</v>
      </c>
      <c r="S127" s="2"/>
      <c r="T127" s="2"/>
      <c r="U127" s="2"/>
      <c r="V127" s="2"/>
      <c r="W127" s="2"/>
      <c r="X127" s="2"/>
      <c r="Y127" s="2"/>
      <c r="Z127" s="2"/>
    </row>
    <row r="128" customFormat="false" ht="19.5" hidden="false" customHeight="true" outlineLevel="0" collapsed="false">
      <c r="A128" s="56" t="s">
        <v>394</v>
      </c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7"/>
      <c r="S128" s="58"/>
      <c r="T128" s="58"/>
      <c r="U128" s="58"/>
      <c r="V128" s="58"/>
      <c r="W128" s="58"/>
      <c r="X128" s="58"/>
      <c r="Y128" s="58"/>
      <c r="Z128" s="58"/>
    </row>
    <row r="129" customFormat="false" ht="32.25" hidden="false" customHeight="true" outlineLevel="0" collapsed="false">
      <c r="A129" s="17" t="s">
        <v>395</v>
      </c>
      <c r="B129" s="17" t="s">
        <v>396</v>
      </c>
      <c r="C129" s="17" t="s">
        <v>397</v>
      </c>
      <c r="D129" s="17" t="s">
        <v>313</v>
      </c>
      <c r="E129" s="59" t="n">
        <v>5</v>
      </c>
      <c r="F129" s="59" t="n">
        <v>0</v>
      </c>
      <c r="G129" s="59" t="n">
        <v>0</v>
      </c>
      <c r="H129" s="59" t="n">
        <v>5</v>
      </c>
      <c r="I129" s="59" t="n">
        <v>0</v>
      </c>
      <c r="J129" s="59" t="n">
        <v>0</v>
      </c>
      <c r="K129" s="59" t="n">
        <v>5</v>
      </c>
      <c r="L129" s="59" t="n">
        <v>0</v>
      </c>
      <c r="M129" s="59" t="n">
        <v>0</v>
      </c>
      <c r="N129" s="60" t="n">
        <f aca="false">IF($B$2="Thận trọng",E129,IF($B$2="Cơ sở",H129,K129))</f>
        <v>5</v>
      </c>
      <c r="O129" s="60" t="n">
        <f aca="false">IF($B$2="Thận trọng",F129,IF($B$2="Cơ sở",I129,L129))</f>
        <v>0</v>
      </c>
      <c r="P129" s="60" t="n">
        <f aca="false">IF($B$2="Thận trọng",G129,IF($B$2="Cơ sở",J129,M129))</f>
        <v>0</v>
      </c>
      <c r="Q129" s="61" t="s">
        <v>177</v>
      </c>
      <c r="R129" s="62" t="s">
        <v>110</v>
      </c>
      <c r="S129" s="2"/>
      <c r="T129" s="2"/>
      <c r="U129" s="2"/>
      <c r="V129" s="2"/>
      <c r="W129" s="2"/>
      <c r="X129" s="2"/>
      <c r="Y129" s="2"/>
      <c r="Z129" s="2"/>
    </row>
    <row r="130" customFormat="false" ht="63.75" hidden="false" customHeight="true" outlineLevel="0" collapsed="false">
      <c r="A130" s="17" t="s">
        <v>395</v>
      </c>
      <c r="B130" s="17" t="s">
        <v>398</v>
      </c>
      <c r="C130" s="17" t="s">
        <v>399</v>
      </c>
      <c r="D130" s="17" t="s">
        <v>316</v>
      </c>
      <c r="E130" s="87" t="n">
        <v>23100000</v>
      </c>
      <c r="F130" s="87" t="n">
        <v>0</v>
      </c>
      <c r="G130" s="87" t="n">
        <v>0</v>
      </c>
      <c r="H130" s="87" t="n">
        <v>24700000</v>
      </c>
      <c r="I130" s="87" t="n">
        <v>0</v>
      </c>
      <c r="J130" s="87" t="n">
        <v>0</v>
      </c>
      <c r="K130" s="87" t="n">
        <v>27000000</v>
      </c>
      <c r="L130" s="87" t="n">
        <v>0</v>
      </c>
      <c r="M130" s="87" t="n">
        <v>0</v>
      </c>
      <c r="N130" s="85" t="n">
        <f aca="false">IF($B$2="Thận trọng",E130,IF($B$2="Cơ sở",H130,K130))</f>
        <v>24700000</v>
      </c>
      <c r="O130" s="85" t="n">
        <f aca="false">IF($B$2="Thận trọng",F130,IF($B$2="Cơ sở",I130,L130))</f>
        <v>0</v>
      </c>
      <c r="P130" s="85" t="n">
        <f aca="false">IF($B$2="Thận trọng",G130,IF($B$2="Cơ sở",J130,M130))</f>
        <v>0</v>
      </c>
      <c r="Q130" s="61" t="s">
        <v>400</v>
      </c>
      <c r="R130" s="62" t="s">
        <v>187</v>
      </c>
      <c r="S130" s="2"/>
      <c r="T130" s="2"/>
      <c r="U130" s="2"/>
      <c r="V130" s="2"/>
      <c r="W130" s="2"/>
      <c r="X130" s="2"/>
      <c r="Y130" s="2"/>
      <c r="Z130" s="2"/>
    </row>
    <row r="131" customFormat="false" ht="32.25" hidden="false" customHeight="true" outlineLevel="0" collapsed="false">
      <c r="A131" s="17" t="s">
        <v>395</v>
      </c>
      <c r="B131" s="17" t="s">
        <v>401</v>
      </c>
      <c r="C131" s="17" t="s">
        <v>402</v>
      </c>
      <c r="D131" s="17" t="s">
        <v>313</v>
      </c>
      <c r="E131" s="59" t="n">
        <v>1</v>
      </c>
      <c r="F131" s="59" t="n">
        <v>0</v>
      </c>
      <c r="G131" s="59" t="n">
        <v>0</v>
      </c>
      <c r="H131" s="59" t="n">
        <v>1</v>
      </c>
      <c r="I131" s="59" t="n">
        <v>0</v>
      </c>
      <c r="J131" s="59" t="n">
        <v>0</v>
      </c>
      <c r="K131" s="59" t="n">
        <v>1</v>
      </c>
      <c r="L131" s="59" t="n">
        <v>0</v>
      </c>
      <c r="M131" s="59" t="n">
        <v>0</v>
      </c>
      <c r="N131" s="60" t="n">
        <f aca="false">IF($B$2="Thận trọng",E131,IF($B$2="Cơ sở",H131,K131))</f>
        <v>1</v>
      </c>
      <c r="O131" s="60" t="n">
        <f aca="false">IF($B$2="Thận trọng",F131,IF($B$2="Cơ sở",I131,L131))</f>
        <v>0</v>
      </c>
      <c r="P131" s="60" t="n">
        <f aca="false">IF($B$2="Thận trọng",G131,IF($B$2="Cơ sở",J131,M131))</f>
        <v>0</v>
      </c>
      <c r="Q131" s="61" t="s">
        <v>177</v>
      </c>
      <c r="R131" s="62" t="s">
        <v>110</v>
      </c>
      <c r="S131" s="2"/>
      <c r="T131" s="2"/>
      <c r="U131" s="2"/>
      <c r="V131" s="2"/>
      <c r="W131" s="2"/>
      <c r="X131" s="2"/>
      <c r="Y131" s="2"/>
      <c r="Z131" s="2"/>
    </row>
    <row r="132" customFormat="false" ht="48" hidden="false" customHeight="true" outlineLevel="0" collapsed="false">
      <c r="A132" s="17" t="s">
        <v>395</v>
      </c>
      <c r="B132" s="17" t="s">
        <v>403</v>
      </c>
      <c r="C132" s="17" t="s">
        <v>404</v>
      </c>
      <c r="D132" s="17" t="s">
        <v>316</v>
      </c>
      <c r="E132" s="87" t="n">
        <v>15500000</v>
      </c>
      <c r="F132" s="87" t="n">
        <v>0</v>
      </c>
      <c r="G132" s="87" t="n">
        <v>0</v>
      </c>
      <c r="H132" s="87" t="n">
        <v>16300000</v>
      </c>
      <c r="I132" s="87" t="n">
        <v>0</v>
      </c>
      <c r="J132" s="87" t="n">
        <v>0</v>
      </c>
      <c r="K132" s="87" t="n">
        <v>18000000</v>
      </c>
      <c r="L132" s="87" t="n">
        <v>0</v>
      </c>
      <c r="M132" s="87" t="n">
        <v>0</v>
      </c>
      <c r="N132" s="85" t="n">
        <f aca="false">IF($B$2="Thận trọng",E132,IF($B$2="Cơ sở",H132,K132))</f>
        <v>16300000</v>
      </c>
      <c r="O132" s="85" t="n">
        <f aca="false">IF($B$2="Thận trọng",F132,IF($B$2="Cơ sở",I132,L132))</f>
        <v>0</v>
      </c>
      <c r="P132" s="85" t="n">
        <f aca="false">IF($B$2="Thận trọng",G132,IF($B$2="Cơ sở",J132,M132))</f>
        <v>0</v>
      </c>
      <c r="Q132" s="61" t="s">
        <v>405</v>
      </c>
      <c r="R132" s="62" t="s">
        <v>110</v>
      </c>
      <c r="S132" s="2"/>
      <c r="T132" s="2"/>
      <c r="U132" s="2"/>
      <c r="V132" s="2"/>
      <c r="W132" s="2"/>
      <c r="X132" s="2"/>
      <c r="Y132" s="2"/>
      <c r="Z132" s="2"/>
    </row>
    <row r="133" customFormat="false" ht="32.25" hidden="false" customHeight="true" outlineLevel="0" collapsed="false">
      <c r="A133" s="17" t="s">
        <v>395</v>
      </c>
      <c r="B133" s="17" t="s">
        <v>406</v>
      </c>
      <c r="C133" s="17" t="s">
        <v>407</v>
      </c>
      <c r="D133" s="17" t="s">
        <v>313</v>
      </c>
      <c r="E133" s="59" t="n">
        <v>1</v>
      </c>
      <c r="F133" s="59" t="n">
        <v>0</v>
      </c>
      <c r="G133" s="59" t="n">
        <v>0</v>
      </c>
      <c r="H133" s="59" t="n">
        <v>1</v>
      </c>
      <c r="I133" s="59" t="n">
        <v>0</v>
      </c>
      <c r="J133" s="59" t="n">
        <v>0</v>
      </c>
      <c r="K133" s="59" t="n">
        <v>1</v>
      </c>
      <c r="L133" s="59" t="n">
        <v>0</v>
      </c>
      <c r="M133" s="59" t="n">
        <v>0</v>
      </c>
      <c r="N133" s="60" t="n">
        <f aca="false">IF($B$2="Thận trọng",E133,IF($B$2="Cơ sở",H133,K133))</f>
        <v>1</v>
      </c>
      <c r="O133" s="60" t="n">
        <f aca="false">IF($B$2="Thận trọng",F133,IF($B$2="Cơ sở",I133,L133))</f>
        <v>0</v>
      </c>
      <c r="P133" s="60" t="n">
        <f aca="false">IF($B$2="Thận trọng",G133,IF($B$2="Cơ sở",J133,M133))</f>
        <v>0</v>
      </c>
      <c r="Q133" s="61" t="s">
        <v>177</v>
      </c>
      <c r="R133" s="62" t="s">
        <v>110</v>
      </c>
      <c r="S133" s="2"/>
      <c r="T133" s="2"/>
      <c r="U133" s="2"/>
      <c r="V133" s="2"/>
      <c r="W133" s="2"/>
      <c r="X133" s="2"/>
      <c r="Y133" s="2"/>
      <c r="Z133" s="2"/>
    </row>
    <row r="134" customFormat="false" ht="32.25" hidden="false" customHeight="true" outlineLevel="0" collapsed="false">
      <c r="A134" s="17" t="s">
        <v>395</v>
      </c>
      <c r="B134" s="17" t="s">
        <v>408</v>
      </c>
      <c r="C134" s="17" t="s">
        <v>409</v>
      </c>
      <c r="D134" s="17" t="s">
        <v>316</v>
      </c>
      <c r="E134" s="87" t="n">
        <v>6400000</v>
      </c>
      <c r="F134" s="87" t="n">
        <v>0</v>
      </c>
      <c r="G134" s="87" t="n">
        <v>0</v>
      </c>
      <c r="H134" s="87" t="n">
        <v>6400000</v>
      </c>
      <c r="I134" s="87" t="n">
        <v>0</v>
      </c>
      <c r="J134" s="87" t="n">
        <v>0</v>
      </c>
      <c r="K134" s="87" t="n">
        <v>6400000</v>
      </c>
      <c r="L134" s="87" t="n">
        <v>0</v>
      </c>
      <c r="M134" s="87" t="n">
        <v>0</v>
      </c>
      <c r="N134" s="85" t="n">
        <f aca="false">IF($B$2="Thận trọng",E134,IF($B$2="Cơ sở",H134,K134))</f>
        <v>6400000</v>
      </c>
      <c r="O134" s="85" t="n">
        <f aca="false">IF($B$2="Thận trọng",F134,IF($B$2="Cơ sở",I134,L134))</f>
        <v>0</v>
      </c>
      <c r="P134" s="85" t="n">
        <f aca="false">IF($B$2="Thận trọng",G134,IF($B$2="Cơ sở",J134,M134))</f>
        <v>0</v>
      </c>
      <c r="Q134" s="97" t="s">
        <v>21</v>
      </c>
      <c r="R134" s="62" t="s">
        <v>187</v>
      </c>
      <c r="S134" s="2"/>
      <c r="T134" s="2"/>
      <c r="U134" s="2"/>
      <c r="V134" s="2"/>
      <c r="W134" s="2"/>
      <c r="X134" s="2"/>
      <c r="Y134" s="2"/>
      <c r="Z134" s="2"/>
    </row>
    <row r="135" customFormat="false" ht="48" hidden="false" customHeight="true" outlineLevel="0" collapsed="false">
      <c r="A135" s="17" t="s">
        <v>395</v>
      </c>
      <c r="B135" s="17" t="s">
        <v>342</v>
      </c>
      <c r="C135" s="17" t="s">
        <v>343</v>
      </c>
      <c r="D135" s="17" t="s">
        <v>313</v>
      </c>
      <c r="E135" s="59" t="n">
        <v>1</v>
      </c>
      <c r="F135" s="59" t="n">
        <v>0</v>
      </c>
      <c r="G135" s="59" t="n">
        <v>0</v>
      </c>
      <c r="H135" s="59" t="n">
        <v>1</v>
      </c>
      <c r="I135" s="59" t="n">
        <v>0</v>
      </c>
      <c r="J135" s="59" t="n">
        <v>0</v>
      </c>
      <c r="K135" s="59" t="n">
        <v>1</v>
      </c>
      <c r="L135" s="59" t="n">
        <v>0</v>
      </c>
      <c r="M135" s="59" t="n">
        <v>0</v>
      </c>
      <c r="N135" s="60" t="n">
        <f aca="false">IF($B$2="Thận trọng",E135,IF($B$2="Cơ sở",H135,K135))</f>
        <v>1</v>
      </c>
      <c r="O135" s="60" t="n">
        <f aca="false">IF($B$2="Thận trọng",F135,IF($B$2="Cơ sở",I135,L135))</f>
        <v>0</v>
      </c>
      <c r="P135" s="60" t="n">
        <f aca="false">IF($B$2="Thận trọng",G135,IF($B$2="Cơ sở",J135,M135))</f>
        <v>0</v>
      </c>
      <c r="Q135" s="61" t="s">
        <v>344</v>
      </c>
      <c r="R135" s="62" t="s">
        <v>187</v>
      </c>
      <c r="S135" s="2"/>
      <c r="T135" s="2"/>
      <c r="U135" s="2"/>
      <c r="V135" s="2"/>
      <c r="W135" s="2"/>
      <c r="X135" s="2"/>
      <c r="Y135" s="2"/>
      <c r="Z135" s="2"/>
    </row>
    <row r="136" customFormat="false" ht="48" hidden="false" customHeight="true" outlineLevel="0" collapsed="false">
      <c r="A136" s="17" t="s">
        <v>395</v>
      </c>
      <c r="B136" s="17" t="s">
        <v>345</v>
      </c>
      <c r="C136" s="17" t="s">
        <v>346</v>
      </c>
      <c r="D136" s="17" t="s">
        <v>316</v>
      </c>
      <c r="E136" s="87" t="n">
        <v>2600000</v>
      </c>
      <c r="F136" s="87" t="n">
        <v>0</v>
      </c>
      <c r="G136" s="87" t="n">
        <v>0</v>
      </c>
      <c r="H136" s="87" t="n">
        <v>2600000</v>
      </c>
      <c r="I136" s="87" t="n">
        <v>0</v>
      </c>
      <c r="J136" s="87" t="n">
        <v>0</v>
      </c>
      <c r="K136" s="87" t="n">
        <v>2600000</v>
      </c>
      <c r="L136" s="87" t="n">
        <v>0</v>
      </c>
      <c r="M136" s="87" t="n">
        <v>0</v>
      </c>
      <c r="N136" s="85" t="n">
        <f aca="false">IF($B$2="Thận trọng",E136,IF($B$2="Cơ sở",H136,K136))</f>
        <v>2600000</v>
      </c>
      <c r="O136" s="85" t="n">
        <f aca="false">IF($B$2="Thận trọng",F136,IF($B$2="Cơ sở",I136,L136))</f>
        <v>0</v>
      </c>
      <c r="P136" s="85" t="n">
        <f aca="false">IF($B$2="Thận trọng",G136,IF($B$2="Cơ sở",J136,M136))</f>
        <v>0</v>
      </c>
      <c r="Q136" s="61" t="s">
        <v>347</v>
      </c>
      <c r="R136" s="62" t="s">
        <v>187</v>
      </c>
      <c r="S136" s="2"/>
      <c r="T136" s="2"/>
      <c r="U136" s="2"/>
      <c r="V136" s="2"/>
      <c r="W136" s="2"/>
      <c r="X136" s="2"/>
      <c r="Y136" s="2"/>
      <c r="Z136" s="2"/>
    </row>
    <row r="137" customFormat="false" ht="32.25" hidden="false" customHeight="true" outlineLevel="0" collapsed="false">
      <c r="A137" s="17" t="s">
        <v>395</v>
      </c>
      <c r="B137" s="17" t="s">
        <v>410</v>
      </c>
      <c r="C137" s="17" t="s">
        <v>411</v>
      </c>
      <c r="D137" s="17" t="s">
        <v>313</v>
      </c>
      <c r="E137" s="59" t="n">
        <v>2</v>
      </c>
      <c r="F137" s="59" t="n">
        <v>0</v>
      </c>
      <c r="G137" s="59" t="n">
        <v>0</v>
      </c>
      <c r="H137" s="59" t="n">
        <v>2</v>
      </c>
      <c r="I137" s="59" t="n">
        <v>0</v>
      </c>
      <c r="J137" s="59" t="n">
        <v>0</v>
      </c>
      <c r="K137" s="59" t="n">
        <v>2</v>
      </c>
      <c r="L137" s="59" t="n">
        <v>0</v>
      </c>
      <c r="M137" s="59" t="n">
        <v>0</v>
      </c>
      <c r="N137" s="60" t="n">
        <f aca="false">IF($B$2="Thận trọng",E137,IF($B$2="Cơ sở",H137,K137))</f>
        <v>2</v>
      </c>
      <c r="O137" s="60" t="n">
        <f aca="false">IF($B$2="Thận trọng",F137,IF($B$2="Cơ sở",I137,L137))</f>
        <v>0</v>
      </c>
      <c r="P137" s="60" t="n">
        <f aca="false">IF($B$2="Thận trọng",G137,IF($B$2="Cơ sở",J137,M137))</f>
        <v>0</v>
      </c>
      <c r="Q137" s="61" t="s">
        <v>177</v>
      </c>
      <c r="R137" s="62" t="s">
        <v>110</v>
      </c>
      <c r="S137" s="2"/>
      <c r="T137" s="2"/>
      <c r="U137" s="2"/>
      <c r="V137" s="2"/>
      <c r="W137" s="2"/>
      <c r="X137" s="2"/>
      <c r="Y137" s="2"/>
      <c r="Z137" s="2"/>
    </row>
    <row r="138" customFormat="false" ht="32.25" hidden="false" customHeight="true" outlineLevel="0" collapsed="false">
      <c r="A138" s="17" t="s">
        <v>395</v>
      </c>
      <c r="B138" s="17" t="s">
        <v>412</v>
      </c>
      <c r="C138" s="17" t="s">
        <v>413</v>
      </c>
      <c r="D138" s="17" t="s">
        <v>316</v>
      </c>
      <c r="E138" s="87" t="n">
        <v>260000000</v>
      </c>
      <c r="F138" s="87" t="n">
        <v>0</v>
      </c>
      <c r="G138" s="87" t="n">
        <v>0</v>
      </c>
      <c r="H138" s="87" t="n">
        <v>320000000</v>
      </c>
      <c r="I138" s="87" t="n">
        <v>0</v>
      </c>
      <c r="J138" s="87" t="n">
        <v>0</v>
      </c>
      <c r="K138" s="87" t="n">
        <v>400000000</v>
      </c>
      <c r="L138" s="87" t="n">
        <v>0</v>
      </c>
      <c r="M138" s="87" t="n">
        <v>0</v>
      </c>
      <c r="N138" s="85" t="n">
        <f aca="false">IF($B$2="Thận trọng",E138,IF($B$2="Cơ sở",H138,K138))</f>
        <v>320000000</v>
      </c>
      <c r="O138" s="85" t="n">
        <f aca="false">IF($B$2="Thận trọng",F138,IF($B$2="Cơ sở",I138,L138))</f>
        <v>0</v>
      </c>
      <c r="P138" s="85" t="n">
        <f aca="false">IF($B$2="Thận trọng",G138,IF($B$2="Cơ sở",J138,M138))</f>
        <v>0</v>
      </c>
      <c r="Q138" s="61" t="s">
        <v>414</v>
      </c>
      <c r="R138" s="62" t="s">
        <v>110</v>
      </c>
      <c r="S138" s="2"/>
      <c r="T138" s="2"/>
      <c r="U138" s="2"/>
      <c r="V138" s="2"/>
      <c r="W138" s="2"/>
      <c r="X138" s="2"/>
      <c r="Y138" s="2"/>
      <c r="Z138" s="2"/>
    </row>
    <row r="139" customFormat="false" ht="32.25" hidden="false" customHeight="true" outlineLevel="0" collapsed="false">
      <c r="A139" s="17" t="s">
        <v>395</v>
      </c>
      <c r="B139" s="17" t="s">
        <v>415</v>
      </c>
      <c r="C139" s="17" t="s">
        <v>327</v>
      </c>
      <c r="D139" s="17" t="s">
        <v>313</v>
      </c>
      <c r="E139" s="59" t="n">
        <v>2</v>
      </c>
      <c r="F139" s="59" t="n">
        <v>0</v>
      </c>
      <c r="G139" s="59" t="n">
        <v>0</v>
      </c>
      <c r="H139" s="59" t="n">
        <v>2</v>
      </c>
      <c r="I139" s="59" t="n">
        <v>0</v>
      </c>
      <c r="J139" s="59" t="n">
        <v>0</v>
      </c>
      <c r="K139" s="59" t="n">
        <v>2</v>
      </c>
      <c r="L139" s="59" t="n">
        <v>0</v>
      </c>
      <c r="M139" s="59" t="n">
        <v>0</v>
      </c>
      <c r="N139" s="60" t="n">
        <f aca="false">IF($B$2="Thận trọng",E139,IF($B$2="Cơ sở",H139,K139))</f>
        <v>2</v>
      </c>
      <c r="O139" s="60" t="n">
        <f aca="false">IF($B$2="Thận trọng",F139,IF($B$2="Cơ sở",I139,L139))</f>
        <v>0</v>
      </c>
      <c r="P139" s="60" t="n">
        <f aca="false">IF($B$2="Thận trọng",G139,IF($B$2="Cơ sở",J139,M139))</f>
        <v>0</v>
      </c>
      <c r="Q139" s="61" t="s">
        <v>177</v>
      </c>
      <c r="R139" s="62" t="s">
        <v>110</v>
      </c>
      <c r="S139" s="2"/>
      <c r="T139" s="2"/>
      <c r="U139" s="2"/>
      <c r="V139" s="2"/>
      <c r="W139" s="2"/>
      <c r="X139" s="2"/>
      <c r="Y139" s="2"/>
      <c r="Z139" s="2"/>
    </row>
    <row r="140" customFormat="false" ht="32.25" hidden="false" customHeight="true" outlineLevel="0" collapsed="false">
      <c r="A140" s="17" t="s">
        <v>395</v>
      </c>
      <c r="B140" s="17" t="s">
        <v>416</v>
      </c>
      <c r="C140" s="17" t="s">
        <v>329</v>
      </c>
      <c r="D140" s="17" t="s">
        <v>316</v>
      </c>
      <c r="E140" s="87" t="n">
        <v>11300000</v>
      </c>
      <c r="F140" s="87" t="n">
        <v>0</v>
      </c>
      <c r="G140" s="87" t="n">
        <v>0</v>
      </c>
      <c r="H140" s="87" t="n">
        <v>11300000</v>
      </c>
      <c r="I140" s="87" t="n">
        <v>0</v>
      </c>
      <c r="J140" s="87" t="n">
        <v>0</v>
      </c>
      <c r="K140" s="87" t="n">
        <v>11300000</v>
      </c>
      <c r="L140" s="87" t="n">
        <v>0</v>
      </c>
      <c r="M140" s="87" t="n">
        <v>0</v>
      </c>
      <c r="N140" s="85" t="n">
        <f aca="false">IF($B$2="Thận trọng",E140,IF($B$2="Cơ sở",H140,K140))</f>
        <v>11300000</v>
      </c>
      <c r="O140" s="85" t="n">
        <f aca="false">IF($B$2="Thận trọng",F140,IF($B$2="Cơ sở",I140,L140))</f>
        <v>0</v>
      </c>
      <c r="P140" s="85" t="n">
        <f aca="false">IF($B$2="Thận trọng",G140,IF($B$2="Cơ sở",J140,M140))</f>
        <v>0</v>
      </c>
      <c r="Q140" s="97" t="s">
        <v>417</v>
      </c>
      <c r="R140" s="62" t="s">
        <v>110</v>
      </c>
      <c r="S140" s="2"/>
      <c r="T140" s="2"/>
      <c r="U140" s="2"/>
      <c r="V140" s="2"/>
      <c r="W140" s="2"/>
      <c r="X140" s="2"/>
      <c r="Y140" s="2"/>
      <c r="Z140" s="2"/>
    </row>
    <row r="141" customFormat="false" ht="32.25" hidden="false" customHeight="true" outlineLevel="0" collapsed="false">
      <c r="A141" s="17" t="s">
        <v>395</v>
      </c>
      <c r="B141" s="17" t="s">
        <v>418</v>
      </c>
      <c r="C141" s="17" t="s">
        <v>419</v>
      </c>
      <c r="D141" s="17" t="s">
        <v>313</v>
      </c>
      <c r="E141" s="59" t="n">
        <v>6</v>
      </c>
      <c r="F141" s="59" t="n">
        <v>0</v>
      </c>
      <c r="G141" s="59" t="n">
        <v>0</v>
      </c>
      <c r="H141" s="59" t="n">
        <v>6</v>
      </c>
      <c r="I141" s="59" t="n">
        <v>0</v>
      </c>
      <c r="J141" s="59" t="n">
        <v>0</v>
      </c>
      <c r="K141" s="59" t="n">
        <v>6</v>
      </c>
      <c r="L141" s="59" t="n">
        <v>0</v>
      </c>
      <c r="M141" s="59" t="n">
        <v>0</v>
      </c>
      <c r="N141" s="60" t="n">
        <f aca="false">IF($B$2="Thận trọng",E141,IF($B$2="Cơ sở",H141,K141))</f>
        <v>6</v>
      </c>
      <c r="O141" s="60" t="n">
        <f aca="false">IF($B$2="Thận trọng",F141,IF($B$2="Cơ sở",I141,L141))</f>
        <v>0</v>
      </c>
      <c r="P141" s="60" t="n">
        <f aca="false">IF($B$2="Thận trọng",G141,IF($B$2="Cơ sở",J141,M141))</f>
        <v>0</v>
      </c>
      <c r="Q141" s="61" t="s">
        <v>177</v>
      </c>
      <c r="R141" s="62" t="s">
        <v>187</v>
      </c>
      <c r="S141" s="2"/>
      <c r="T141" s="2"/>
      <c r="U141" s="2"/>
      <c r="V141" s="2"/>
      <c r="W141" s="2"/>
      <c r="X141" s="2"/>
      <c r="Y141" s="2"/>
      <c r="Z141" s="2"/>
    </row>
    <row r="142" customFormat="false" ht="32.25" hidden="false" customHeight="true" outlineLevel="0" collapsed="false">
      <c r="A142" s="17" t="s">
        <v>395</v>
      </c>
      <c r="B142" s="17" t="s">
        <v>420</v>
      </c>
      <c r="C142" s="17" t="s">
        <v>421</v>
      </c>
      <c r="D142" s="17" t="s">
        <v>316</v>
      </c>
      <c r="E142" s="87" t="n">
        <v>36000000</v>
      </c>
      <c r="F142" s="87" t="n">
        <v>0</v>
      </c>
      <c r="G142" s="87" t="n">
        <v>0</v>
      </c>
      <c r="H142" s="87" t="n">
        <v>36000000</v>
      </c>
      <c r="I142" s="87" t="n">
        <v>0</v>
      </c>
      <c r="J142" s="87" t="n">
        <v>0</v>
      </c>
      <c r="K142" s="87" t="n">
        <v>36000000</v>
      </c>
      <c r="L142" s="87" t="n">
        <v>0</v>
      </c>
      <c r="M142" s="87" t="n">
        <v>0</v>
      </c>
      <c r="N142" s="85" t="n">
        <f aca="false">IF($B$2="Thận trọng",E142,IF($B$2="Cơ sở",H142,K142))</f>
        <v>36000000</v>
      </c>
      <c r="O142" s="85" t="n">
        <f aca="false">IF($B$2="Thận trọng",F142,IF($B$2="Cơ sở",I142,L142))</f>
        <v>0</v>
      </c>
      <c r="P142" s="85" t="n">
        <f aca="false">IF($B$2="Thận trọng",G142,IF($B$2="Cơ sở",J142,M142))</f>
        <v>0</v>
      </c>
      <c r="Q142" s="61" t="s">
        <v>414</v>
      </c>
      <c r="R142" s="62" t="s">
        <v>187</v>
      </c>
      <c r="S142" s="2"/>
      <c r="T142" s="2"/>
      <c r="U142" s="2"/>
      <c r="V142" s="2"/>
      <c r="W142" s="2"/>
      <c r="X142" s="2"/>
      <c r="Y142" s="2"/>
      <c r="Z142" s="2"/>
    </row>
    <row r="143" customFormat="false" ht="19.5" hidden="false" customHeight="true" outlineLevel="0" collapsed="false">
      <c r="A143" s="98" t="s">
        <v>422</v>
      </c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100"/>
      <c r="S143" s="2"/>
      <c r="T143" s="2"/>
      <c r="U143" s="2"/>
      <c r="V143" s="2"/>
      <c r="W143" s="2"/>
      <c r="X143" s="2"/>
      <c r="Y143" s="2"/>
      <c r="Z143" s="2"/>
    </row>
    <row r="144" customFormat="false" ht="17.25" hidden="false" customHeight="true" outlineLevel="0" collapsed="false">
      <c r="A144" s="17" t="s">
        <v>423</v>
      </c>
      <c r="B144" s="17" t="s">
        <v>424</v>
      </c>
      <c r="C144" s="17" t="s">
        <v>425</v>
      </c>
      <c r="D144" s="17" t="s">
        <v>426</v>
      </c>
      <c r="E144" s="101" t="n">
        <v>0.8</v>
      </c>
      <c r="F144" s="101" t="n">
        <v>0.8</v>
      </c>
      <c r="G144" s="101" t="n">
        <v>0.8</v>
      </c>
      <c r="H144" s="101" t="n">
        <v>0.8</v>
      </c>
      <c r="I144" s="101" t="n">
        <v>0.8</v>
      </c>
      <c r="J144" s="101" t="n">
        <v>0.8</v>
      </c>
      <c r="K144" s="101" t="n">
        <v>0.8</v>
      </c>
      <c r="L144" s="101" t="n">
        <v>0.8</v>
      </c>
      <c r="M144" s="101" t="n">
        <v>0.8</v>
      </c>
      <c r="N144" s="102" t="n">
        <f aca="false">IF($B$2="Thận trọng",E144,IF($B$2="Cơ sở",H144,K144))</f>
        <v>0.8</v>
      </c>
      <c r="O144" s="102" t="n">
        <f aca="false">IF($B$2="Thận trọng",F144,IF($B$2="Cơ sở",I144,L144))</f>
        <v>0.8</v>
      </c>
      <c r="P144" s="102" t="n">
        <f aca="false">IF($B$2="Thận trọng",G144,IF($B$2="Cơ sở",J144,M144))</f>
        <v>0.8</v>
      </c>
      <c r="Q144" s="61" t="s">
        <v>105</v>
      </c>
      <c r="R144" s="62" t="s">
        <v>105</v>
      </c>
      <c r="S144" s="2"/>
      <c r="T144" s="2"/>
      <c r="U144" s="2"/>
      <c r="V144" s="2"/>
      <c r="W144" s="2"/>
      <c r="X144" s="2"/>
      <c r="Y144" s="2"/>
      <c r="Z144" s="2"/>
    </row>
    <row r="145" customFormat="false" ht="17.25" hidden="false" customHeight="true" outlineLevel="0" collapsed="false">
      <c r="A145" s="17" t="s">
        <v>423</v>
      </c>
      <c r="B145" s="17" t="s">
        <v>427</v>
      </c>
      <c r="C145" s="17" t="s">
        <v>428</v>
      </c>
      <c r="D145" s="17" t="s">
        <v>426</v>
      </c>
      <c r="E145" s="101" t="n">
        <v>0.9</v>
      </c>
      <c r="F145" s="101" t="n">
        <v>0.9</v>
      </c>
      <c r="G145" s="101" t="n">
        <v>0.9</v>
      </c>
      <c r="H145" s="101" t="n">
        <v>0.9</v>
      </c>
      <c r="I145" s="101" t="n">
        <v>0.9</v>
      </c>
      <c r="J145" s="101" t="n">
        <v>0.9</v>
      </c>
      <c r="K145" s="101" t="n">
        <v>0.9</v>
      </c>
      <c r="L145" s="101" t="n">
        <v>0.9</v>
      </c>
      <c r="M145" s="101" t="n">
        <v>0.9</v>
      </c>
      <c r="N145" s="102" t="n">
        <f aca="false">IF($B$2="Thận trọng",E145,IF($B$2="Cơ sở",H145,K145))</f>
        <v>0.9</v>
      </c>
      <c r="O145" s="102" t="n">
        <f aca="false">IF($B$2="Thận trọng",F145,IF($B$2="Cơ sở",I145,L145))</f>
        <v>0.9</v>
      </c>
      <c r="P145" s="102" t="n">
        <f aca="false">IF($B$2="Thận trọng",G145,IF($B$2="Cơ sở",J145,M145))</f>
        <v>0.9</v>
      </c>
      <c r="Q145" s="61" t="s">
        <v>105</v>
      </c>
      <c r="R145" s="62" t="s">
        <v>105</v>
      </c>
      <c r="S145" s="2"/>
      <c r="T145" s="2"/>
      <c r="U145" s="2"/>
      <c r="V145" s="2"/>
      <c r="W145" s="2"/>
      <c r="X145" s="2"/>
      <c r="Y145" s="2"/>
      <c r="Z145" s="2"/>
    </row>
    <row r="146" customFormat="false" ht="17.25" hidden="false" customHeight="true" outlineLevel="0" collapsed="false">
      <c r="A146" s="17" t="s">
        <v>423</v>
      </c>
      <c r="B146" s="17" t="s">
        <v>429</v>
      </c>
      <c r="C146" s="17" t="s">
        <v>430</v>
      </c>
      <c r="D146" s="17" t="s">
        <v>426</v>
      </c>
      <c r="E146" s="101" t="n">
        <v>1</v>
      </c>
      <c r="F146" s="101" t="n">
        <v>1</v>
      </c>
      <c r="G146" s="101" t="n">
        <v>1</v>
      </c>
      <c r="H146" s="101" t="n">
        <v>1</v>
      </c>
      <c r="I146" s="101" t="n">
        <v>1</v>
      </c>
      <c r="J146" s="101" t="n">
        <v>1</v>
      </c>
      <c r="K146" s="101" t="n">
        <v>1</v>
      </c>
      <c r="L146" s="101" t="n">
        <v>1</v>
      </c>
      <c r="M146" s="101" t="n">
        <v>1</v>
      </c>
      <c r="N146" s="102" t="n">
        <f aca="false">IF($B$2="Thận trọng",E146,IF($B$2="Cơ sở",H146,K146))</f>
        <v>1</v>
      </c>
      <c r="O146" s="102" t="n">
        <f aca="false">IF($B$2="Thận trọng",F146,IF($B$2="Cơ sở",I146,L146))</f>
        <v>1</v>
      </c>
      <c r="P146" s="102" t="n">
        <f aca="false">IF($B$2="Thận trọng",G146,IF($B$2="Cơ sở",J146,M146))</f>
        <v>1</v>
      </c>
      <c r="Q146" s="61" t="s">
        <v>105</v>
      </c>
      <c r="R146" s="62" t="s">
        <v>105</v>
      </c>
      <c r="S146" s="2"/>
      <c r="T146" s="2"/>
      <c r="U146" s="2"/>
      <c r="V146" s="2"/>
      <c r="W146" s="2"/>
      <c r="X146" s="2"/>
      <c r="Y146" s="2"/>
      <c r="Z146" s="2"/>
    </row>
    <row r="147" customFormat="false" ht="17.25" hidden="false" customHeight="true" outlineLevel="0" collapsed="false">
      <c r="A147" s="17" t="s">
        <v>423</v>
      </c>
      <c r="B147" s="17" t="s">
        <v>431</v>
      </c>
      <c r="C147" s="17" t="s">
        <v>432</v>
      </c>
      <c r="D147" s="17" t="s">
        <v>426</v>
      </c>
      <c r="E147" s="101" t="n">
        <v>1.1</v>
      </c>
      <c r="F147" s="101" t="n">
        <v>1.1</v>
      </c>
      <c r="G147" s="101" t="n">
        <v>1.1</v>
      </c>
      <c r="H147" s="101" t="n">
        <v>1.1</v>
      </c>
      <c r="I147" s="101" t="n">
        <v>1.1</v>
      </c>
      <c r="J147" s="101" t="n">
        <v>1.1</v>
      </c>
      <c r="K147" s="101" t="n">
        <v>1.1</v>
      </c>
      <c r="L147" s="101" t="n">
        <v>1.1</v>
      </c>
      <c r="M147" s="101" t="n">
        <v>1.1</v>
      </c>
      <c r="N147" s="102" t="n">
        <f aca="false">IF($B$2="Thận trọng",E147,IF($B$2="Cơ sở",H147,K147))</f>
        <v>1.1</v>
      </c>
      <c r="O147" s="102" t="n">
        <f aca="false">IF($B$2="Thận trọng",F147,IF($B$2="Cơ sở",I147,L147))</f>
        <v>1.1</v>
      </c>
      <c r="P147" s="102" t="n">
        <f aca="false">IF($B$2="Thận trọng",G147,IF($B$2="Cơ sở",J147,M147))</f>
        <v>1.1</v>
      </c>
      <c r="Q147" s="61" t="s">
        <v>105</v>
      </c>
      <c r="R147" s="62" t="s">
        <v>105</v>
      </c>
      <c r="S147" s="2"/>
      <c r="T147" s="2"/>
      <c r="U147" s="2"/>
      <c r="V147" s="2"/>
      <c r="W147" s="2"/>
      <c r="X147" s="2"/>
      <c r="Y147" s="2"/>
      <c r="Z147" s="2"/>
    </row>
    <row r="148" customFormat="false" ht="17.25" hidden="false" customHeight="true" outlineLevel="0" collapsed="false">
      <c r="A148" s="17" t="s">
        <v>423</v>
      </c>
      <c r="B148" s="17" t="s">
        <v>433</v>
      </c>
      <c r="C148" s="17" t="s">
        <v>434</v>
      </c>
      <c r="D148" s="17" t="s">
        <v>426</v>
      </c>
      <c r="E148" s="101" t="n">
        <v>1.2</v>
      </c>
      <c r="F148" s="101" t="n">
        <v>1.2</v>
      </c>
      <c r="G148" s="101" t="n">
        <v>1.2</v>
      </c>
      <c r="H148" s="101" t="n">
        <v>1.2</v>
      </c>
      <c r="I148" s="101" t="n">
        <v>1.2</v>
      </c>
      <c r="J148" s="101" t="n">
        <v>1.2</v>
      </c>
      <c r="K148" s="101" t="n">
        <v>1.2</v>
      </c>
      <c r="L148" s="101" t="n">
        <v>1.2</v>
      </c>
      <c r="M148" s="101" t="n">
        <v>1.2</v>
      </c>
      <c r="N148" s="102" t="n">
        <f aca="false">IF($B$2="Thận trọng",E148,IF($B$2="Cơ sở",H148,K148))</f>
        <v>1.2</v>
      </c>
      <c r="O148" s="102" t="n">
        <f aca="false">IF($B$2="Thận trọng",F148,IF($B$2="Cơ sở",I148,L148))</f>
        <v>1.2</v>
      </c>
      <c r="P148" s="102" t="n">
        <f aca="false">IF($B$2="Thận trọng",G148,IF($B$2="Cơ sở",J148,M148))</f>
        <v>1.2</v>
      </c>
      <c r="Q148" s="61" t="s">
        <v>105</v>
      </c>
      <c r="R148" s="62" t="s">
        <v>105</v>
      </c>
      <c r="S148" s="2"/>
      <c r="T148" s="2"/>
      <c r="U148" s="2"/>
      <c r="V148" s="2"/>
      <c r="W148" s="2"/>
      <c r="X148" s="2"/>
      <c r="Y148" s="2"/>
      <c r="Z148" s="2"/>
    </row>
    <row r="149" customFormat="false" ht="13.5" hidden="false" customHeight="true" outlineLevel="0" collapsed="false">
      <c r="A149" s="2"/>
      <c r="B149" s="2"/>
      <c r="C149" s="2"/>
      <c r="D149" s="2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3.5" hidden="false" customHeight="true" outlineLevel="0" collapsed="false">
      <c r="A150" s="2"/>
      <c r="B150" s="2"/>
      <c r="C150" s="2"/>
      <c r="D150" s="2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3.5" hidden="false" customHeight="true" outlineLevel="0" collapsed="false">
      <c r="A151" s="2"/>
      <c r="B151" s="2"/>
      <c r="C151" s="2"/>
      <c r="D151" s="2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3.5" hidden="false" customHeight="true" outlineLevel="0" collapsed="false">
      <c r="A152" s="2"/>
      <c r="B152" s="2"/>
      <c r="C152" s="2"/>
      <c r="D152" s="2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3.5" hidden="false" customHeight="true" outlineLevel="0" collapsed="false">
      <c r="A153" s="2"/>
      <c r="B153" s="2"/>
      <c r="C153" s="2"/>
      <c r="D153" s="2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3.5" hidden="false" customHeight="true" outlineLevel="0" collapsed="false">
      <c r="A154" s="2"/>
      <c r="B154" s="2"/>
      <c r="C154" s="2"/>
      <c r="D154" s="2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3.5" hidden="false" customHeight="true" outlineLevel="0" collapsed="false">
      <c r="A155" s="2"/>
      <c r="B155" s="2"/>
      <c r="C155" s="2"/>
      <c r="D155" s="2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3.5" hidden="false" customHeight="true" outlineLevel="0" collapsed="false">
      <c r="A156" s="2"/>
      <c r="B156" s="2"/>
      <c r="C156" s="2"/>
      <c r="D156" s="2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3.5" hidden="false" customHeight="true" outlineLevel="0" collapsed="false">
      <c r="A157" s="2"/>
      <c r="B157" s="2"/>
      <c r="C157" s="2"/>
      <c r="D157" s="2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3.5" hidden="false" customHeight="true" outlineLevel="0" collapsed="false">
      <c r="A158" s="2"/>
      <c r="B158" s="2"/>
      <c r="C158" s="2"/>
      <c r="D158" s="2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3.5" hidden="false" customHeight="true" outlineLevel="0" collapsed="false">
      <c r="A159" s="2"/>
      <c r="B159" s="2"/>
      <c r="C159" s="2"/>
      <c r="D159" s="2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3.5" hidden="false" customHeight="true" outlineLevel="0" collapsed="false">
      <c r="A160" s="2"/>
      <c r="B160" s="2"/>
      <c r="C160" s="2"/>
      <c r="D160" s="2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3.5" hidden="false" customHeight="true" outlineLevel="0" collapsed="false">
      <c r="A161" s="2"/>
      <c r="B161" s="2"/>
      <c r="C161" s="2"/>
      <c r="D161" s="2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3.5" hidden="false" customHeight="true" outlineLevel="0" collapsed="false">
      <c r="A162" s="2"/>
      <c r="B162" s="2"/>
      <c r="C162" s="2"/>
      <c r="D162" s="2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3.5" hidden="false" customHeight="true" outlineLevel="0" collapsed="false">
      <c r="A163" s="2"/>
      <c r="B163" s="2"/>
      <c r="C163" s="2"/>
      <c r="D163" s="2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3.5" hidden="false" customHeight="true" outlineLevel="0" collapsed="false">
      <c r="A164" s="2"/>
      <c r="B164" s="2"/>
      <c r="C164" s="2"/>
      <c r="D164" s="2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3.5" hidden="false" customHeight="true" outlineLevel="0" collapsed="false">
      <c r="A165" s="2"/>
      <c r="B165" s="2"/>
      <c r="C165" s="2"/>
      <c r="D165" s="2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3.5" hidden="false" customHeight="true" outlineLevel="0" collapsed="false">
      <c r="A166" s="2"/>
      <c r="B166" s="2"/>
      <c r="C166" s="2"/>
      <c r="D166" s="2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3.5" hidden="false" customHeight="true" outlineLevel="0" collapsed="false">
      <c r="A167" s="2"/>
      <c r="B167" s="2"/>
      <c r="C167" s="2"/>
      <c r="D167" s="2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3.5" hidden="false" customHeight="true" outlineLevel="0" collapsed="false">
      <c r="A168" s="2"/>
      <c r="B168" s="2"/>
      <c r="C168" s="2"/>
      <c r="D168" s="2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3.5" hidden="false" customHeight="true" outlineLevel="0" collapsed="false">
      <c r="A169" s="2"/>
      <c r="B169" s="2"/>
      <c r="C169" s="2"/>
      <c r="D169" s="2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3.5" hidden="false" customHeight="true" outlineLevel="0" collapsed="false">
      <c r="A170" s="2"/>
      <c r="B170" s="2"/>
      <c r="C170" s="2"/>
      <c r="D170" s="2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3.5" hidden="false" customHeight="true" outlineLevel="0" collapsed="false">
      <c r="A171" s="2"/>
      <c r="B171" s="2"/>
      <c r="C171" s="2"/>
      <c r="D171" s="2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3.5" hidden="false" customHeight="true" outlineLevel="0" collapsed="false">
      <c r="A172" s="2"/>
      <c r="B172" s="2"/>
      <c r="C172" s="2"/>
      <c r="D172" s="2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3.5" hidden="false" customHeight="true" outlineLevel="0" collapsed="false">
      <c r="A173" s="2"/>
      <c r="B173" s="2"/>
      <c r="C173" s="2"/>
      <c r="D173" s="2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3.5" hidden="false" customHeight="true" outlineLevel="0" collapsed="false">
      <c r="A174" s="2"/>
      <c r="B174" s="2"/>
      <c r="C174" s="2"/>
      <c r="D174" s="2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3.5" hidden="false" customHeight="true" outlineLevel="0" collapsed="false">
      <c r="A175" s="2"/>
      <c r="B175" s="2"/>
      <c r="C175" s="2"/>
      <c r="D175" s="2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3.5" hidden="false" customHeight="true" outlineLevel="0" collapsed="false">
      <c r="A176" s="2"/>
      <c r="B176" s="2"/>
      <c r="C176" s="2"/>
      <c r="D176" s="2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3.5" hidden="false" customHeight="true" outlineLevel="0" collapsed="false">
      <c r="A177" s="2"/>
      <c r="B177" s="2"/>
      <c r="C177" s="2"/>
      <c r="D177" s="2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3.5" hidden="false" customHeight="true" outlineLevel="0" collapsed="false">
      <c r="A178" s="2"/>
      <c r="B178" s="2"/>
      <c r="C178" s="2"/>
      <c r="D178" s="2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3.5" hidden="false" customHeight="true" outlineLevel="0" collapsed="false">
      <c r="A179" s="2"/>
      <c r="B179" s="2"/>
      <c r="C179" s="2"/>
      <c r="D179" s="2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3.5" hidden="false" customHeight="true" outlineLevel="0" collapsed="false">
      <c r="A180" s="2"/>
      <c r="B180" s="2"/>
      <c r="C180" s="2"/>
      <c r="D180" s="2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3.5" hidden="false" customHeight="true" outlineLevel="0" collapsed="false">
      <c r="A181" s="2"/>
      <c r="B181" s="2"/>
      <c r="C181" s="2"/>
      <c r="D181" s="2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3.5" hidden="false" customHeight="true" outlineLevel="0" collapsed="false">
      <c r="A182" s="2"/>
      <c r="B182" s="2"/>
      <c r="C182" s="2"/>
      <c r="D182" s="2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3.5" hidden="false" customHeight="true" outlineLevel="0" collapsed="false">
      <c r="A183" s="2"/>
      <c r="B183" s="2"/>
      <c r="C183" s="2"/>
      <c r="D183" s="2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3.5" hidden="false" customHeight="true" outlineLevel="0" collapsed="false">
      <c r="A184" s="2"/>
      <c r="B184" s="2"/>
      <c r="C184" s="2"/>
      <c r="D184" s="2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3.5" hidden="false" customHeight="true" outlineLevel="0" collapsed="false">
      <c r="A185" s="2"/>
      <c r="B185" s="2"/>
      <c r="C185" s="2"/>
      <c r="D185" s="2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3.5" hidden="false" customHeight="true" outlineLevel="0" collapsed="false">
      <c r="A186" s="2"/>
      <c r="B186" s="2"/>
      <c r="C186" s="2"/>
      <c r="D186" s="2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3.5" hidden="false" customHeight="true" outlineLevel="0" collapsed="false">
      <c r="A187" s="2"/>
      <c r="B187" s="2"/>
      <c r="C187" s="2"/>
      <c r="D187" s="2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3.5" hidden="false" customHeight="true" outlineLevel="0" collapsed="false">
      <c r="A188" s="2"/>
      <c r="B188" s="2"/>
      <c r="C188" s="2"/>
      <c r="D188" s="2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3.5" hidden="false" customHeight="true" outlineLevel="0" collapsed="false">
      <c r="A189" s="2"/>
      <c r="B189" s="2"/>
      <c r="C189" s="2"/>
      <c r="D189" s="2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3.5" hidden="false" customHeight="true" outlineLevel="0" collapsed="false">
      <c r="A190" s="2"/>
      <c r="B190" s="2"/>
      <c r="C190" s="2"/>
      <c r="D190" s="2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3.5" hidden="false" customHeight="true" outlineLevel="0" collapsed="false">
      <c r="A191" s="2"/>
      <c r="B191" s="2"/>
      <c r="C191" s="2"/>
      <c r="D191" s="2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3.5" hidden="false" customHeight="true" outlineLevel="0" collapsed="false">
      <c r="A192" s="2"/>
      <c r="B192" s="2"/>
      <c r="C192" s="2"/>
      <c r="D192" s="2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3.5" hidden="false" customHeight="true" outlineLevel="0" collapsed="false">
      <c r="A193" s="2"/>
      <c r="B193" s="2"/>
      <c r="C193" s="2"/>
      <c r="D193" s="2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3.5" hidden="false" customHeight="true" outlineLevel="0" collapsed="false">
      <c r="A194" s="2"/>
      <c r="B194" s="2"/>
      <c r="C194" s="2"/>
      <c r="D194" s="2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3.5" hidden="false" customHeight="true" outlineLevel="0" collapsed="false">
      <c r="A195" s="2"/>
      <c r="B195" s="2"/>
      <c r="C195" s="2"/>
      <c r="D195" s="2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3.5" hidden="false" customHeight="true" outlineLevel="0" collapsed="false">
      <c r="A196" s="2"/>
      <c r="B196" s="2"/>
      <c r="C196" s="2"/>
      <c r="D196" s="2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3.5" hidden="false" customHeight="true" outlineLevel="0" collapsed="false">
      <c r="A197" s="2"/>
      <c r="B197" s="2"/>
      <c r="C197" s="2"/>
      <c r="D197" s="2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3.5" hidden="false" customHeight="true" outlineLevel="0" collapsed="false">
      <c r="A198" s="2"/>
      <c r="B198" s="2"/>
      <c r="C198" s="2"/>
      <c r="D198" s="2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3.5" hidden="false" customHeight="true" outlineLevel="0" collapsed="false">
      <c r="A199" s="2"/>
      <c r="B199" s="2"/>
      <c r="C199" s="2"/>
      <c r="D199" s="2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3.5" hidden="false" customHeight="true" outlineLevel="0" collapsed="false">
      <c r="A200" s="2"/>
      <c r="B200" s="2"/>
      <c r="C200" s="2"/>
      <c r="D200" s="2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3.5" hidden="false" customHeight="true" outlineLevel="0" collapsed="false">
      <c r="A201" s="2"/>
      <c r="B201" s="2"/>
      <c r="C201" s="2"/>
      <c r="D201" s="2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3.5" hidden="false" customHeight="true" outlineLevel="0" collapsed="false">
      <c r="A202" s="2"/>
      <c r="B202" s="2"/>
      <c r="C202" s="2"/>
      <c r="D202" s="2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3.5" hidden="false" customHeight="true" outlineLevel="0" collapsed="false">
      <c r="A203" s="2"/>
      <c r="B203" s="2"/>
      <c r="C203" s="2"/>
      <c r="D203" s="2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3.5" hidden="false" customHeight="true" outlineLevel="0" collapsed="false">
      <c r="A204" s="2"/>
      <c r="B204" s="2"/>
      <c r="C204" s="2"/>
      <c r="D204" s="2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3.5" hidden="false" customHeight="true" outlineLevel="0" collapsed="false">
      <c r="A205" s="2"/>
      <c r="B205" s="2"/>
      <c r="C205" s="2"/>
      <c r="D205" s="2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3.5" hidden="false" customHeight="true" outlineLevel="0" collapsed="false">
      <c r="A206" s="2"/>
      <c r="B206" s="2"/>
      <c r="C206" s="2"/>
      <c r="D206" s="2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3.5" hidden="false" customHeight="true" outlineLevel="0" collapsed="false">
      <c r="A207" s="2"/>
      <c r="B207" s="2"/>
      <c r="C207" s="2"/>
      <c r="D207" s="2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3.5" hidden="false" customHeight="true" outlineLevel="0" collapsed="false">
      <c r="A208" s="2"/>
      <c r="B208" s="2"/>
      <c r="C208" s="2"/>
      <c r="D208" s="2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3.5" hidden="false" customHeight="true" outlineLevel="0" collapsed="false">
      <c r="A209" s="2"/>
      <c r="B209" s="2"/>
      <c r="C209" s="2"/>
      <c r="D209" s="2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3.5" hidden="false" customHeight="true" outlineLevel="0" collapsed="false">
      <c r="A210" s="2"/>
      <c r="B210" s="2"/>
      <c r="C210" s="2"/>
      <c r="D210" s="2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3.5" hidden="false" customHeight="true" outlineLevel="0" collapsed="false">
      <c r="A211" s="2"/>
      <c r="B211" s="2"/>
      <c r="C211" s="2"/>
      <c r="D211" s="2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3.5" hidden="false" customHeight="true" outlineLevel="0" collapsed="false">
      <c r="A212" s="2"/>
      <c r="B212" s="2"/>
      <c r="C212" s="2"/>
      <c r="D212" s="2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3.5" hidden="false" customHeight="true" outlineLevel="0" collapsed="false">
      <c r="A213" s="2"/>
      <c r="B213" s="2"/>
      <c r="C213" s="2"/>
      <c r="D213" s="2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3.5" hidden="false" customHeight="true" outlineLevel="0" collapsed="false">
      <c r="A214" s="2"/>
      <c r="B214" s="2"/>
      <c r="C214" s="2"/>
      <c r="D214" s="2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3.5" hidden="false" customHeight="true" outlineLevel="0" collapsed="false">
      <c r="A215" s="2"/>
      <c r="B215" s="2"/>
      <c r="C215" s="2"/>
      <c r="D215" s="2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3.5" hidden="false" customHeight="true" outlineLevel="0" collapsed="false">
      <c r="A216" s="2"/>
      <c r="B216" s="2"/>
      <c r="C216" s="2"/>
      <c r="D216" s="2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3.5" hidden="false" customHeight="true" outlineLevel="0" collapsed="false">
      <c r="A217" s="2"/>
      <c r="B217" s="2"/>
      <c r="C217" s="2"/>
      <c r="D217" s="2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3.5" hidden="false" customHeight="true" outlineLevel="0" collapsed="false">
      <c r="A218" s="2"/>
      <c r="B218" s="2"/>
      <c r="C218" s="2"/>
      <c r="D218" s="2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3.5" hidden="false" customHeight="true" outlineLevel="0" collapsed="false">
      <c r="A219" s="2"/>
      <c r="B219" s="2"/>
      <c r="C219" s="2"/>
      <c r="D219" s="2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3.5" hidden="false" customHeight="true" outlineLevel="0" collapsed="false">
      <c r="A220" s="2"/>
      <c r="B220" s="2"/>
      <c r="C220" s="2"/>
      <c r="D220" s="2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3.5" hidden="false" customHeight="true" outlineLevel="0" collapsed="false">
      <c r="A221" s="2"/>
      <c r="B221" s="2"/>
      <c r="C221" s="2"/>
      <c r="D221" s="2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3.5" hidden="false" customHeight="true" outlineLevel="0" collapsed="false">
      <c r="A222" s="2"/>
      <c r="B222" s="2"/>
      <c r="C222" s="2"/>
      <c r="D222" s="2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3.5" hidden="false" customHeight="true" outlineLevel="0" collapsed="false">
      <c r="A223" s="2"/>
      <c r="B223" s="2"/>
      <c r="C223" s="2"/>
      <c r="D223" s="2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3.5" hidden="false" customHeight="true" outlineLevel="0" collapsed="false">
      <c r="A224" s="2"/>
      <c r="B224" s="2"/>
      <c r="C224" s="2"/>
      <c r="D224" s="2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3.5" hidden="false" customHeight="true" outlineLevel="0" collapsed="false">
      <c r="A225" s="2"/>
      <c r="B225" s="2"/>
      <c r="C225" s="2"/>
      <c r="D225" s="2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3.5" hidden="false" customHeight="true" outlineLevel="0" collapsed="false">
      <c r="A226" s="2"/>
      <c r="B226" s="2"/>
      <c r="C226" s="2"/>
      <c r="D226" s="2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3.5" hidden="false" customHeight="true" outlineLevel="0" collapsed="false">
      <c r="A227" s="2"/>
      <c r="B227" s="2"/>
      <c r="C227" s="2"/>
      <c r="D227" s="2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3.5" hidden="false" customHeight="true" outlineLevel="0" collapsed="false">
      <c r="A228" s="2"/>
      <c r="B228" s="2"/>
      <c r="C228" s="2"/>
      <c r="D228" s="2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3.5" hidden="false" customHeight="true" outlineLevel="0" collapsed="false">
      <c r="A229" s="2"/>
      <c r="B229" s="2"/>
      <c r="C229" s="2"/>
      <c r="D229" s="2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3.5" hidden="false" customHeight="true" outlineLevel="0" collapsed="false">
      <c r="A230" s="2"/>
      <c r="B230" s="2"/>
      <c r="C230" s="2"/>
      <c r="D230" s="2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3.5" hidden="false" customHeight="true" outlineLevel="0" collapsed="false">
      <c r="A231" s="2"/>
      <c r="B231" s="2"/>
      <c r="C231" s="2"/>
      <c r="D231" s="2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3.5" hidden="false" customHeight="true" outlineLevel="0" collapsed="false">
      <c r="A232" s="2"/>
      <c r="B232" s="2"/>
      <c r="C232" s="2"/>
      <c r="D232" s="2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3.5" hidden="false" customHeight="true" outlineLevel="0" collapsed="false">
      <c r="A233" s="2"/>
      <c r="B233" s="2"/>
      <c r="C233" s="2"/>
      <c r="D233" s="2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3.5" hidden="false" customHeight="true" outlineLevel="0" collapsed="false">
      <c r="A234" s="2"/>
      <c r="B234" s="2"/>
      <c r="C234" s="2"/>
      <c r="D234" s="2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3.5" hidden="false" customHeight="true" outlineLevel="0" collapsed="false">
      <c r="A235" s="2"/>
      <c r="B235" s="2"/>
      <c r="C235" s="2"/>
      <c r="D235" s="2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3.5" hidden="false" customHeight="true" outlineLevel="0" collapsed="false">
      <c r="A236" s="2"/>
      <c r="B236" s="2"/>
      <c r="C236" s="2"/>
      <c r="D236" s="2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3.5" hidden="false" customHeight="true" outlineLevel="0" collapsed="false">
      <c r="A237" s="2"/>
      <c r="B237" s="2"/>
      <c r="C237" s="2"/>
      <c r="D237" s="2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3.5" hidden="false" customHeight="true" outlineLevel="0" collapsed="false">
      <c r="A238" s="2"/>
      <c r="B238" s="2"/>
      <c r="C238" s="2"/>
      <c r="D238" s="2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3.5" hidden="false" customHeight="true" outlineLevel="0" collapsed="false">
      <c r="A239" s="2"/>
      <c r="B239" s="2"/>
      <c r="C239" s="2"/>
      <c r="D239" s="2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3.5" hidden="false" customHeight="true" outlineLevel="0" collapsed="false">
      <c r="A240" s="2"/>
      <c r="B240" s="2"/>
      <c r="C240" s="2"/>
      <c r="D240" s="2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3.5" hidden="false" customHeight="true" outlineLevel="0" collapsed="false">
      <c r="A241" s="2"/>
      <c r="B241" s="2"/>
      <c r="C241" s="2"/>
      <c r="D241" s="2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3.5" hidden="false" customHeight="true" outlineLevel="0" collapsed="false">
      <c r="A242" s="2"/>
      <c r="B242" s="2"/>
      <c r="C242" s="2"/>
      <c r="D242" s="2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3.5" hidden="false" customHeight="true" outlineLevel="0" collapsed="false">
      <c r="A243" s="2"/>
      <c r="B243" s="2"/>
      <c r="C243" s="2"/>
      <c r="D243" s="2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3.5" hidden="false" customHeight="true" outlineLevel="0" collapsed="false">
      <c r="A244" s="2"/>
      <c r="B244" s="2"/>
      <c r="C244" s="2"/>
      <c r="D244" s="2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3.5" hidden="false" customHeight="true" outlineLevel="0" collapsed="false">
      <c r="A245" s="2"/>
      <c r="B245" s="2"/>
      <c r="C245" s="2"/>
      <c r="D245" s="2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3.5" hidden="false" customHeight="true" outlineLevel="0" collapsed="false">
      <c r="A246" s="2"/>
      <c r="B246" s="2"/>
      <c r="C246" s="2"/>
      <c r="D246" s="2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3.5" hidden="false" customHeight="true" outlineLevel="0" collapsed="false">
      <c r="A247" s="2"/>
      <c r="B247" s="2"/>
      <c r="C247" s="2"/>
      <c r="D247" s="2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3.5" hidden="false" customHeight="true" outlineLevel="0" collapsed="false">
      <c r="A248" s="2"/>
      <c r="B248" s="2"/>
      <c r="C248" s="2"/>
      <c r="D248" s="2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3.5" hidden="false" customHeight="true" outlineLevel="0" collapsed="false">
      <c r="A249" s="2"/>
      <c r="B249" s="2"/>
      <c r="C249" s="2"/>
      <c r="D249" s="2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3.5" hidden="false" customHeight="true" outlineLevel="0" collapsed="false">
      <c r="A250" s="2"/>
      <c r="B250" s="2"/>
      <c r="C250" s="2"/>
      <c r="D250" s="2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3.5" hidden="false" customHeight="true" outlineLevel="0" collapsed="false">
      <c r="A251" s="2"/>
      <c r="B251" s="2"/>
      <c r="C251" s="2"/>
      <c r="D251" s="2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3.5" hidden="false" customHeight="true" outlineLevel="0" collapsed="false">
      <c r="A252" s="2"/>
      <c r="B252" s="2"/>
      <c r="C252" s="2"/>
      <c r="D252" s="2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3.5" hidden="false" customHeight="true" outlineLevel="0" collapsed="false">
      <c r="A253" s="2"/>
      <c r="B253" s="2"/>
      <c r="C253" s="2"/>
      <c r="D253" s="2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3.5" hidden="false" customHeight="true" outlineLevel="0" collapsed="false">
      <c r="A254" s="2"/>
      <c r="B254" s="2"/>
      <c r="C254" s="2"/>
      <c r="D254" s="2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3.5" hidden="false" customHeight="true" outlineLevel="0" collapsed="false">
      <c r="A255" s="2"/>
      <c r="B255" s="2"/>
      <c r="C255" s="2"/>
      <c r="D255" s="2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3.5" hidden="false" customHeight="true" outlineLevel="0" collapsed="false">
      <c r="A256" s="2"/>
      <c r="B256" s="2"/>
      <c r="C256" s="2"/>
      <c r="D256" s="2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3.5" hidden="false" customHeight="true" outlineLevel="0" collapsed="false">
      <c r="A257" s="2"/>
      <c r="B257" s="2"/>
      <c r="C257" s="2"/>
      <c r="D257" s="2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3.5" hidden="false" customHeight="true" outlineLevel="0" collapsed="false">
      <c r="A258" s="2"/>
      <c r="B258" s="2"/>
      <c r="C258" s="2"/>
      <c r="D258" s="2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3.5" hidden="false" customHeight="true" outlineLevel="0" collapsed="false">
      <c r="A259" s="2"/>
      <c r="B259" s="2"/>
      <c r="C259" s="2"/>
      <c r="D259" s="2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3.5" hidden="false" customHeight="true" outlineLevel="0" collapsed="false">
      <c r="A260" s="2"/>
      <c r="B260" s="2"/>
      <c r="C260" s="2"/>
      <c r="D260" s="2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3.5" hidden="false" customHeight="true" outlineLevel="0" collapsed="false">
      <c r="A261" s="2"/>
      <c r="B261" s="2"/>
      <c r="C261" s="2"/>
      <c r="D261" s="2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3.5" hidden="false" customHeight="true" outlineLevel="0" collapsed="false">
      <c r="A262" s="2"/>
      <c r="B262" s="2"/>
      <c r="C262" s="2"/>
      <c r="D262" s="2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3.5" hidden="false" customHeight="true" outlineLevel="0" collapsed="false">
      <c r="A263" s="2"/>
      <c r="B263" s="2"/>
      <c r="C263" s="2"/>
      <c r="D263" s="2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3.5" hidden="false" customHeight="true" outlineLevel="0" collapsed="false">
      <c r="A264" s="2"/>
      <c r="B264" s="2"/>
      <c r="C264" s="2"/>
      <c r="D264" s="2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3.5" hidden="false" customHeight="true" outlineLevel="0" collapsed="false">
      <c r="A265" s="2"/>
      <c r="B265" s="2"/>
      <c r="C265" s="2"/>
      <c r="D265" s="2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3.5" hidden="false" customHeight="true" outlineLevel="0" collapsed="false">
      <c r="A266" s="2"/>
      <c r="B266" s="2"/>
      <c r="C266" s="2"/>
      <c r="D266" s="2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3.5" hidden="false" customHeight="true" outlineLevel="0" collapsed="false">
      <c r="A267" s="2"/>
      <c r="B267" s="2"/>
      <c r="C267" s="2"/>
      <c r="D267" s="2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3.5" hidden="false" customHeight="true" outlineLevel="0" collapsed="false">
      <c r="A268" s="2"/>
      <c r="B268" s="2"/>
      <c r="C268" s="2"/>
      <c r="D268" s="2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3.5" hidden="false" customHeight="true" outlineLevel="0" collapsed="false">
      <c r="A269" s="2"/>
      <c r="B269" s="2"/>
      <c r="C269" s="2"/>
      <c r="D269" s="2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3.5" hidden="false" customHeight="true" outlineLevel="0" collapsed="false">
      <c r="A270" s="2"/>
      <c r="B270" s="2"/>
      <c r="C270" s="2"/>
      <c r="D270" s="2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3.5" hidden="false" customHeight="true" outlineLevel="0" collapsed="false">
      <c r="A271" s="2"/>
      <c r="B271" s="2"/>
      <c r="C271" s="2"/>
      <c r="D271" s="2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3.5" hidden="false" customHeight="true" outlineLevel="0" collapsed="false">
      <c r="A272" s="2"/>
      <c r="B272" s="2"/>
      <c r="C272" s="2"/>
      <c r="D272" s="2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3.5" hidden="false" customHeight="true" outlineLevel="0" collapsed="false">
      <c r="A273" s="2"/>
      <c r="B273" s="2"/>
      <c r="C273" s="2"/>
      <c r="D273" s="2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3.5" hidden="false" customHeight="true" outlineLevel="0" collapsed="false">
      <c r="A274" s="2"/>
      <c r="B274" s="2"/>
      <c r="C274" s="2"/>
      <c r="D274" s="2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3.5" hidden="false" customHeight="true" outlineLevel="0" collapsed="false">
      <c r="A275" s="2"/>
      <c r="B275" s="2"/>
      <c r="C275" s="2"/>
      <c r="D275" s="2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3.5" hidden="false" customHeight="true" outlineLevel="0" collapsed="false">
      <c r="A276" s="2"/>
      <c r="B276" s="2"/>
      <c r="C276" s="2"/>
      <c r="D276" s="2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3.5" hidden="false" customHeight="true" outlineLevel="0" collapsed="false">
      <c r="A277" s="2"/>
      <c r="B277" s="2"/>
      <c r="C277" s="2"/>
      <c r="D277" s="2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3.5" hidden="false" customHeight="true" outlineLevel="0" collapsed="false">
      <c r="A278" s="2"/>
      <c r="B278" s="2"/>
      <c r="C278" s="2"/>
      <c r="D278" s="2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3.5" hidden="false" customHeight="true" outlineLevel="0" collapsed="false">
      <c r="A279" s="2"/>
      <c r="B279" s="2"/>
      <c r="C279" s="2"/>
      <c r="D279" s="2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3.5" hidden="false" customHeight="true" outlineLevel="0" collapsed="false">
      <c r="A280" s="2"/>
      <c r="B280" s="2"/>
      <c r="C280" s="2"/>
      <c r="D280" s="2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3.5" hidden="false" customHeight="true" outlineLevel="0" collapsed="false">
      <c r="A281" s="2"/>
      <c r="B281" s="2"/>
      <c r="C281" s="2"/>
      <c r="D281" s="2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3.5" hidden="false" customHeight="true" outlineLevel="0" collapsed="false">
      <c r="A282" s="2"/>
      <c r="B282" s="2"/>
      <c r="C282" s="2"/>
      <c r="D282" s="2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3.5" hidden="false" customHeight="true" outlineLevel="0" collapsed="false">
      <c r="A283" s="2"/>
      <c r="B283" s="2"/>
      <c r="C283" s="2"/>
      <c r="D283" s="2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3.5" hidden="false" customHeight="true" outlineLevel="0" collapsed="false">
      <c r="A284" s="2"/>
      <c r="B284" s="2"/>
      <c r="C284" s="2"/>
      <c r="D284" s="2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3.5" hidden="false" customHeight="true" outlineLevel="0" collapsed="false">
      <c r="A285" s="2"/>
      <c r="B285" s="2"/>
      <c r="C285" s="2"/>
      <c r="D285" s="2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3.5" hidden="false" customHeight="true" outlineLevel="0" collapsed="false">
      <c r="A286" s="2"/>
      <c r="B286" s="2"/>
      <c r="C286" s="2"/>
      <c r="D286" s="2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3.5" hidden="false" customHeight="true" outlineLevel="0" collapsed="false">
      <c r="A287" s="2"/>
      <c r="B287" s="2"/>
      <c r="C287" s="2"/>
      <c r="D287" s="2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3.5" hidden="false" customHeight="true" outlineLevel="0" collapsed="false">
      <c r="A288" s="2"/>
      <c r="B288" s="2"/>
      <c r="C288" s="2"/>
      <c r="D288" s="2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3.5" hidden="false" customHeight="true" outlineLevel="0" collapsed="false">
      <c r="A289" s="2"/>
      <c r="B289" s="2"/>
      <c r="C289" s="2"/>
      <c r="D289" s="2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3.5" hidden="false" customHeight="true" outlineLevel="0" collapsed="false">
      <c r="A290" s="2"/>
      <c r="B290" s="2"/>
      <c r="C290" s="2"/>
      <c r="D290" s="2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3.5" hidden="false" customHeight="true" outlineLevel="0" collapsed="false">
      <c r="A291" s="2"/>
      <c r="B291" s="2"/>
      <c r="C291" s="2"/>
      <c r="D291" s="2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3.5" hidden="false" customHeight="true" outlineLevel="0" collapsed="false">
      <c r="A292" s="2"/>
      <c r="B292" s="2"/>
      <c r="C292" s="2"/>
      <c r="D292" s="2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3.5" hidden="false" customHeight="true" outlineLevel="0" collapsed="false">
      <c r="A293" s="2"/>
      <c r="B293" s="2"/>
      <c r="C293" s="2"/>
      <c r="D293" s="2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3.5" hidden="false" customHeight="true" outlineLevel="0" collapsed="false">
      <c r="A294" s="2"/>
      <c r="B294" s="2"/>
      <c r="C294" s="2"/>
      <c r="D294" s="2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3.5" hidden="false" customHeight="true" outlineLevel="0" collapsed="false">
      <c r="A295" s="2"/>
      <c r="B295" s="2"/>
      <c r="C295" s="2"/>
      <c r="D295" s="2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3.5" hidden="false" customHeight="true" outlineLevel="0" collapsed="false">
      <c r="A296" s="2"/>
      <c r="B296" s="2"/>
      <c r="C296" s="2"/>
      <c r="D296" s="2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3.5" hidden="false" customHeight="true" outlineLevel="0" collapsed="false">
      <c r="A297" s="2"/>
      <c r="B297" s="2"/>
      <c r="C297" s="2"/>
      <c r="D297" s="2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3.5" hidden="false" customHeight="true" outlineLevel="0" collapsed="false">
      <c r="A298" s="2"/>
      <c r="B298" s="2"/>
      <c r="C298" s="2"/>
      <c r="D298" s="2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3.5" hidden="false" customHeight="true" outlineLevel="0" collapsed="false">
      <c r="A299" s="2"/>
      <c r="B299" s="2"/>
      <c r="C299" s="2"/>
      <c r="D299" s="2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3.5" hidden="false" customHeight="true" outlineLevel="0" collapsed="false">
      <c r="A300" s="2"/>
      <c r="B300" s="2"/>
      <c r="C300" s="2"/>
      <c r="D300" s="2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3.5" hidden="false" customHeight="true" outlineLevel="0" collapsed="false">
      <c r="A301" s="2"/>
      <c r="B301" s="2"/>
      <c r="C301" s="2"/>
      <c r="D301" s="2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3.5" hidden="false" customHeight="true" outlineLevel="0" collapsed="false">
      <c r="A302" s="2"/>
      <c r="B302" s="2"/>
      <c r="C302" s="2"/>
      <c r="D302" s="2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3.5" hidden="false" customHeight="true" outlineLevel="0" collapsed="false">
      <c r="A303" s="2"/>
      <c r="B303" s="2"/>
      <c r="C303" s="2"/>
      <c r="D303" s="2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3.5" hidden="false" customHeight="true" outlineLevel="0" collapsed="false">
      <c r="A304" s="2"/>
      <c r="B304" s="2"/>
      <c r="C304" s="2"/>
      <c r="D304" s="2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3.5" hidden="false" customHeight="true" outlineLevel="0" collapsed="false">
      <c r="A305" s="2"/>
      <c r="B305" s="2"/>
      <c r="C305" s="2"/>
      <c r="D305" s="2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3.5" hidden="false" customHeight="true" outlineLevel="0" collapsed="false">
      <c r="A306" s="2"/>
      <c r="B306" s="2"/>
      <c r="C306" s="2"/>
      <c r="D306" s="2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3.5" hidden="false" customHeight="true" outlineLevel="0" collapsed="false">
      <c r="A307" s="2"/>
      <c r="B307" s="2"/>
      <c r="C307" s="2"/>
      <c r="D307" s="2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3.5" hidden="false" customHeight="true" outlineLevel="0" collapsed="false">
      <c r="A308" s="2"/>
      <c r="B308" s="2"/>
      <c r="C308" s="2"/>
      <c r="D308" s="2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3.5" hidden="false" customHeight="true" outlineLevel="0" collapsed="false">
      <c r="A309" s="2"/>
      <c r="B309" s="2"/>
      <c r="C309" s="2"/>
      <c r="D309" s="2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3.5" hidden="false" customHeight="true" outlineLevel="0" collapsed="false">
      <c r="A310" s="2"/>
      <c r="B310" s="2"/>
      <c r="C310" s="2"/>
      <c r="D310" s="2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3.5" hidden="false" customHeight="true" outlineLevel="0" collapsed="false">
      <c r="A311" s="2"/>
      <c r="B311" s="2"/>
      <c r="C311" s="2"/>
      <c r="D311" s="2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3.5" hidden="false" customHeight="true" outlineLevel="0" collapsed="false">
      <c r="A312" s="2"/>
      <c r="B312" s="2"/>
      <c r="C312" s="2"/>
      <c r="D312" s="2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3.5" hidden="false" customHeight="true" outlineLevel="0" collapsed="false">
      <c r="A313" s="2"/>
      <c r="B313" s="2"/>
      <c r="C313" s="2"/>
      <c r="D313" s="2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3.5" hidden="false" customHeight="true" outlineLevel="0" collapsed="false">
      <c r="A314" s="2"/>
      <c r="B314" s="2"/>
      <c r="C314" s="2"/>
      <c r="D314" s="2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3.5" hidden="false" customHeight="true" outlineLevel="0" collapsed="false">
      <c r="A315" s="2"/>
      <c r="B315" s="2"/>
      <c r="C315" s="2"/>
      <c r="D315" s="2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3.5" hidden="false" customHeight="true" outlineLevel="0" collapsed="false">
      <c r="A316" s="2"/>
      <c r="B316" s="2"/>
      <c r="C316" s="2"/>
      <c r="D316" s="2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3.5" hidden="false" customHeight="true" outlineLevel="0" collapsed="false">
      <c r="A317" s="2"/>
      <c r="B317" s="2"/>
      <c r="C317" s="2"/>
      <c r="D317" s="2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3.5" hidden="false" customHeight="true" outlineLevel="0" collapsed="false">
      <c r="A318" s="2"/>
      <c r="B318" s="2"/>
      <c r="C318" s="2"/>
      <c r="D318" s="2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3.5" hidden="false" customHeight="true" outlineLevel="0" collapsed="false">
      <c r="A319" s="2"/>
      <c r="B319" s="2"/>
      <c r="C319" s="2"/>
      <c r="D319" s="2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3.5" hidden="false" customHeight="true" outlineLevel="0" collapsed="false">
      <c r="A320" s="2"/>
      <c r="B320" s="2"/>
      <c r="C320" s="2"/>
      <c r="D320" s="2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3.5" hidden="false" customHeight="true" outlineLevel="0" collapsed="false">
      <c r="A321" s="2"/>
      <c r="B321" s="2"/>
      <c r="C321" s="2"/>
      <c r="D321" s="2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3.5" hidden="false" customHeight="true" outlineLevel="0" collapsed="false">
      <c r="A322" s="2"/>
      <c r="B322" s="2"/>
      <c r="C322" s="2"/>
      <c r="D322" s="2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3.5" hidden="false" customHeight="true" outlineLevel="0" collapsed="false">
      <c r="A323" s="2"/>
      <c r="B323" s="2"/>
      <c r="C323" s="2"/>
      <c r="D323" s="2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3.5" hidden="false" customHeight="true" outlineLevel="0" collapsed="false">
      <c r="A324" s="2"/>
      <c r="B324" s="2"/>
      <c r="C324" s="2"/>
      <c r="D324" s="2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3.5" hidden="false" customHeight="true" outlineLevel="0" collapsed="false">
      <c r="A325" s="2"/>
      <c r="B325" s="2"/>
      <c r="C325" s="2"/>
      <c r="D325" s="2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3.5" hidden="false" customHeight="true" outlineLevel="0" collapsed="false">
      <c r="A326" s="2"/>
      <c r="B326" s="2"/>
      <c r="C326" s="2"/>
      <c r="D326" s="2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3.5" hidden="false" customHeight="true" outlineLevel="0" collapsed="false">
      <c r="A327" s="2"/>
      <c r="B327" s="2"/>
      <c r="C327" s="2"/>
      <c r="D327" s="2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3.5" hidden="false" customHeight="true" outlineLevel="0" collapsed="false">
      <c r="A328" s="2"/>
      <c r="B328" s="2"/>
      <c r="C328" s="2"/>
      <c r="D328" s="2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3.5" hidden="false" customHeight="true" outlineLevel="0" collapsed="false">
      <c r="A329" s="2"/>
      <c r="B329" s="2"/>
      <c r="C329" s="2"/>
      <c r="D329" s="2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3.5" hidden="false" customHeight="true" outlineLevel="0" collapsed="false">
      <c r="A330" s="2"/>
      <c r="B330" s="2"/>
      <c r="C330" s="2"/>
      <c r="D330" s="2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3.5" hidden="false" customHeight="true" outlineLevel="0" collapsed="false">
      <c r="A331" s="2"/>
      <c r="B331" s="2"/>
      <c r="C331" s="2"/>
      <c r="D331" s="2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3.5" hidden="false" customHeight="true" outlineLevel="0" collapsed="false">
      <c r="A332" s="2"/>
      <c r="B332" s="2"/>
      <c r="C332" s="2"/>
      <c r="D332" s="2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3.5" hidden="false" customHeight="true" outlineLevel="0" collapsed="false">
      <c r="A333" s="2"/>
      <c r="B333" s="2"/>
      <c r="C333" s="2"/>
      <c r="D333" s="2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3.5" hidden="false" customHeight="true" outlineLevel="0" collapsed="false">
      <c r="A334" s="2"/>
      <c r="B334" s="2"/>
      <c r="C334" s="2"/>
      <c r="D334" s="2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3.5" hidden="false" customHeight="true" outlineLevel="0" collapsed="false">
      <c r="A335" s="2"/>
      <c r="B335" s="2"/>
      <c r="C335" s="2"/>
      <c r="D335" s="2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3.5" hidden="false" customHeight="true" outlineLevel="0" collapsed="false">
      <c r="A336" s="2"/>
      <c r="B336" s="2"/>
      <c r="C336" s="2"/>
      <c r="D336" s="2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3.5" hidden="false" customHeight="true" outlineLevel="0" collapsed="false">
      <c r="A337" s="2"/>
      <c r="B337" s="2"/>
      <c r="C337" s="2"/>
      <c r="D337" s="2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3.5" hidden="false" customHeight="true" outlineLevel="0" collapsed="false">
      <c r="A338" s="2"/>
      <c r="B338" s="2"/>
      <c r="C338" s="2"/>
      <c r="D338" s="2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3.5" hidden="false" customHeight="true" outlineLevel="0" collapsed="false">
      <c r="A339" s="2"/>
      <c r="B339" s="2"/>
      <c r="C339" s="2"/>
      <c r="D339" s="2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3.5" hidden="false" customHeight="true" outlineLevel="0" collapsed="false">
      <c r="A340" s="2"/>
      <c r="B340" s="2"/>
      <c r="C340" s="2"/>
      <c r="D340" s="2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3.5" hidden="false" customHeight="true" outlineLevel="0" collapsed="false">
      <c r="A341" s="2"/>
      <c r="B341" s="2"/>
      <c r="C341" s="2"/>
      <c r="D341" s="2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3.5" hidden="false" customHeight="true" outlineLevel="0" collapsed="false">
      <c r="A342" s="2"/>
      <c r="B342" s="2"/>
      <c r="C342" s="2"/>
      <c r="D342" s="2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3.5" hidden="false" customHeight="true" outlineLevel="0" collapsed="false">
      <c r="A343" s="2"/>
      <c r="B343" s="2"/>
      <c r="C343" s="2"/>
      <c r="D343" s="2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3.5" hidden="false" customHeight="true" outlineLevel="0" collapsed="false">
      <c r="A344" s="2"/>
      <c r="B344" s="2"/>
      <c r="C344" s="2"/>
      <c r="D344" s="2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3.5" hidden="false" customHeight="true" outlineLevel="0" collapsed="false">
      <c r="A345" s="2"/>
      <c r="B345" s="2"/>
      <c r="C345" s="2"/>
      <c r="D345" s="2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3.5" hidden="false" customHeight="true" outlineLevel="0" collapsed="false">
      <c r="A346" s="2"/>
      <c r="B346" s="2"/>
      <c r="C346" s="2"/>
      <c r="D346" s="2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3.5" hidden="false" customHeight="true" outlineLevel="0" collapsed="false">
      <c r="A347" s="2"/>
      <c r="B347" s="2"/>
      <c r="C347" s="2"/>
      <c r="D347" s="2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3.5" hidden="false" customHeight="true" outlineLevel="0" collapsed="false">
      <c r="A348" s="2"/>
      <c r="B348" s="2"/>
      <c r="C348" s="2"/>
      <c r="D348" s="2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3.5" hidden="false" customHeight="true" outlineLevel="0" collapsed="false">
      <c r="A349" s="2"/>
      <c r="B349" s="2"/>
      <c r="C349" s="2"/>
      <c r="D349" s="2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3.5" hidden="false" customHeight="true" outlineLevel="0" collapsed="false">
      <c r="A350" s="2"/>
      <c r="B350" s="2"/>
      <c r="C350" s="2"/>
      <c r="D350" s="2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3.5" hidden="false" customHeight="true" outlineLevel="0" collapsed="false">
      <c r="A351" s="2"/>
      <c r="B351" s="2"/>
      <c r="C351" s="2"/>
      <c r="D351" s="2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3.5" hidden="false" customHeight="true" outlineLevel="0" collapsed="false">
      <c r="A352" s="2"/>
      <c r="B352" s="2"/>
      <c r="C352" s="2"/>
      <c r="D352" s="2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3.5" hidden="false" customHeight="true" outlineLevel="0" collapsed="false">
      <c r="A353" s="2"/>
      <c r="B353" s="2"/>
      <c r="C353" s="2"/>
      <c r="D353" s="2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3.5" hidden="false" customHeight="true" outlineLevel="0" collapsed="false">
      <c r="A354" s="2"/>
      <c r="B354" s="2"/>
      <c r="C354" s="2"/>
      <c r="D354" s="2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3.5" hidden="false" customHeight="true" outlineLevel="0" collapsed="false">
      <c r="A355" s="2"/>
      <c r="B355" s="2"/>
      <c r="C355" s="2"/>
      <c r="D355" s="2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3.5" hidden="false" customHeight="true" outlineLevel="0" collapsed="false">
      <c r="A356" s="2"/>
      <c r="B356" s="2"/>
      <c r="C356" s="2"/>
      <c r="D356" s="2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3.5" hidden="false" customHeight="true" outlineLevel="0" collapsed="false">
      <c r="A357" s="2"/>
      <c r="B357" s="2"/>
      <c r="C357" s="2"/>
      <c r="D357" s="2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3.5" hidden="false" customHeight="true" outlineLevel="0" collapsed="false">
      <c r="A358" s="2"/>
      <c r="B358" s="2"/>
      <c r="C358" s="2"/>
      <c r="D358" s="2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3.5" hidden="false" customHeight="true" outlineLevel="0" collapsed="false">
      <c r="A359" s="2"/>
      <c r="B359" s="2"/>
      <c r="C359" s="2"/>
      <c r="D359" s="2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3.5" hidden="false" customHeight="true" outlineLevel="0" collapsed="false">
      <c r="A360" s="2"/>
      <c r="B360" s="2"/>
      <c r="C360" s="2"/>
      <c r="D360" s="2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3.5" hidden="false" customHeight="true" outlineLevel="0" collapsed="false">
      <c r="A361" s="2"/>
      <c r="B361" s="2"/>
      <c r="C361" s="2"/>
      <c r="D361" s="2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3.5" hidden="false" customHeight="true" outlineLevel="0" collapsed="false">
      <c r="A362" s="2"/>
      <c r="B362" s="2"/>
      <c r="C362" s="2"/>
      <c r="D362" s="2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3.5" hidden="false" customHeight="true" outlineLevel="0" collapsed="false">
      <c r="A363" s="2"/>
      <c r="B363" s="2"/>
      <c r="C363" s="2"/>
      <c r="D363" s="2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3.5" hidden="false" customHeight="true" outlineLevel="0" collapsed="false">
      <c r="A364" s="2"/>
      <c r="B364" s="2"/>
      <c r="C364" s="2"/>
      <c r="D364" s="2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3.5" hidden="false" customHeight="true" outlineLevel="0" collapsed="false">
      <c r="A365" s="2"/>
      <c r="B365" s="2"/>
      <c r="C365" s="2"/>
      <c r="D365" s="2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3.5" hidden="false" customHeight="true" outlineLevel="0" collapsed="false">
      <c r="A366" s="2"/>
      <c r="B366" s="2"/>
      <c r="C366" s="2"/>
      <c r="D366" s="2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3.5" hidden="false" customHeight="true" outlineLevel="0" collapsed="false">
      <c r="A367" s="2"/>
      <c r="B367" s="2"/>
      <c r="C367" s="2"/>
      <c r="D367" s="2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3.5" hidden="false" customHeight="true" outlineLevel="0" collapsed="false">
      <c r="A368" s="2"/>
      <c r="B368" s="2"/>
      <c r="C368" s="2"/>
      <c r="D368" s="2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3.5" hidden="false" customHeight="true" outlineLevel="0" collapsed="false">
      <c r="A369" s="2"/>
      <c r="B369" s="2"/>
      <c r="C369" s="2"/>
      <c r="D369" s="2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3.5" hidden="false" customHeight="true" outlineLevel="0" collapsed="false">
      <c r="A370" s="2"/>
      <c r="B370" s="2"/>
      <c r="C370" s="2"/>
      <c r="D370" s="2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3.5" hidden="false" customHeight="true" outlineLevel="0" collapsed="false">
      <c r="A371" s="2"/>
      <c r="B371" s="2"/>
      <c r="C371" s="2"/>
      <c r="D371" s="2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3.5" hidden="false" customHeight="true" outlineLevel="0" collapsed="false">
      <c r="A372" s="2"/>
      <c r="B372" s="2"/>
      <c r="C372" s="2"/>
      <c r="D372" s="2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3.5" hidden="false" customHeight="true" outlineLevel="0" collapsed="false">
      <c r="A373" s="2"/>
      <c r="B373" s="2"/>
      <c r="C373" s="2"/>
      <c r="D373" s="2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3.5" hidden="false" customHeight="true" outlineLevel="0" collapsed="false">
      <c r="A374" s="2"/>
      <c r="B374" s="2"/>
      <c r="C374" s="2"/>
      <c r="D374" s="2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3.5" hidden="false" customHeight="true" outlineLevel="0" collapsed="false">
      <c r="A375" s="2"/>
      <c r="B375" s="2"/>
      <c r="C375" s="2"/>
      <c r="D375" s="2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3.5" hidden="false" customHeight="true" outlineLevel="0" collapsed="false">
      <c r="A376" s="2"/>
      <c r="B376" s="2"/>
      <c r="C376" s="2"/>
      <c r="D376" s="2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3.5" hidden="false" customHeight="true" outlineLevel="0" collapsed="false">
      <c r="A377" s="2"/>
      <c r="B377" s="2"/>
      <c r="C377" s="2"/>
      <c r="D377" s="2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3.5" hidden="false" customHeight="true" outlineLevel="0" collapsed="false">
      <c r="A378" s="2"/>
      <c r="B378" s="2"/>
      <c r="C378" s="2"/>
      <c r="D378" s="2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3.5" hidden="false" customHeight="true" outlineLevel="0" collapsed="false">
      <c r="A379" s="2"/>
      <c r="B379" s="2"/>
      <c r="C379" s="2"/>
      <c r="D379" s="2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3.5" hidden="false" customHeight="true" outlineLevel="0" collapsed="false">
      <c r="A380" s="2"/>
      <c r="B380" s="2"/>
      <c r="C380" s="2"/>
      <c r="D380" s="2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3.5" hidden="false" customHeight="true" outlineLevel="0" collapsed="false">
      <c r="A381" s="2"/>
      <c r="B381" s="2"/>
      <c r="C381" s="2"/>
      <c r="D381" s="2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3.5" hidden="false" customHeight="true" outlineLevel="0" collapsed="false">
      <c r="A382" s="2"/>
      <c r="B382" s="2"/>
      <c r="C382" s="2"/>
      <c r="D382" s="2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3.5" hidden="false" customHeight="true" outlineLevel="0" collapsed="false">
      <c r="A383" s="2"/>
      <c r="B383" s="2"/>
      <c r="C383" s="2"/>
      <c r="D383" s="2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3.5" hidden="false" customHeight="true" outlineLevel="0" collapsed="false">
      <c r="A384" s="2"/>
      <c r="B384" s="2"/>
      <c r="C384" s="2"/>
      <c r="D384" s="2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3.5" hidden="false" customHeight="true" outlineLevel="0" collapsed="false">
      <c r="A385" s="2"/>
      <c r="B385" s="2"/>
      <c r="C385" s="2"/>
      <c r="D385" s="2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3.5" hidden="false" customHeight="true" outlineLevel="0" collapsed="false">
      <c r="A386" s="2"/>
      <c r="B386" s="2"/>
      <c r="C386" s="2"/>
      <c r="D386" s="2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3.5" hidden="false" customHeight="true" outlineLevel="0" collapsed="false">
      <c r="A387" s="2"/>
      <c r="B387" s="2"/>
      <c r="C387" s="2"/>
      <c r="D387" s="2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3.5" hidden="false" customHeight="true" outlineLevel="0" collapsed="false">
      <c r="A388" s="2"/>
      <c r="B388" s="2"/>
      <c r="C388" s="2"/>
      <c r="D388" s="2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3.5" hidden="false" customHeight="true" outlineLevel="0" collapsed="false">
      <c r="A389" s="2"/>
      <c r="B389" s="2"/>
      <c r="C389" s="2"/>
      <c r="D389" s="2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3.5" hidden="false" customHeight="true" outlineLevel="0" collapsed="false">
      <c r="A390" s="2"/>
      <c r="B390" s="2"/>
      <c r="C390" s="2"/>
      <c r="D390" s="2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3.5" hidden="false" customHeight="true" outlineLevel="0" collapsed="false">
      <c r="A391" s="2"/>
      <c r="B391" s="2"/>
      <c r="C391" s="2"/>
      <c r="D391" s="2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3.5" hidden="false" customHeight="true" outlineLevel="0" collapsed="false">
      <c r="A392" s="2"/>
      <c r="B392" s="2"/>
      <c r="C392" s="2"/>
      <c r="D392" s="2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3.5" hidden="false" customHeight="true" outlineLevel="0" collapsed="false">
      <c r="A393" s="2"/>
      <c r="B393" s="2"/>
      <c r="C393" s="2"/>
      <c r="D393" s="2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3.5" hidden="false" customHeight="true" outlineLevel="0" collapsed="false">
      <c r="A394" s="2"/>
      <c r="B394" s="2"/>
      <c r="C394" s="2"/>
      <c r="D394" s="2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3.5" hidden="false" customHeight="true" outlineLevel="0" collapsed="false">
      <c r="A395" s="2"/>
      <c r="B395" s="2"/>
      <c r="C395" s="2"/>
      <c r="D395" s="2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3.5" hidden="false" customHeight="true" outlineLevel="0" collapsed="false">
      <c r="A396" s="2"/>
      <c r="B396" s="2"/>
      <c r="C396" s="2"/>
      <c r="D396" s="2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3.5" hidden="false" customHeight="true" outlineLevel="0" collapsed="false">
      <c r="A397" s="2"/>
      <c r="B397" s="2"/>
      <c r="C397" s="2"/>
      <c r="D397" s="2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3.5" hidden="false" customHeight="true" outlineLevel="0" collapsed="false">
      <c r="A398" s="2"/>
      <c r="B398" s="2"/>
      <c r="C398" s="2"/>
      <c r="D398" s="2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3.5" hidden="false" customHeight="true" outlineLevel="0" collapsed="false">
      <c r="A399" s="2"/>
      <c r="B399" s="2"/>
      <c r="C399" s="2"/>
      <c r="D399" s="2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3.5" hidden="false" customHeight="true" outlineLevel="0" collapsed="false">
      <c r="A400" s="2"/>
      <c r="B400" s="2"/>
      <c r="C400" s="2"/>
      <c r="D400" s="2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3.5" hidden="false" customHeight="true" outlineLevel="0" collapsed="false">
      <c r="A401" s="2"/>
      <c r="B401" s="2"/>
      <c r="C401" s="2"/>
      <c r="D401" s="2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3.5" hidden="false" customHeight="true" outlineLevel="0" collapsed="false">
      <c r="A402" s="2"/>
      <c r="B402" s="2"/>
      <c r="C402" s="2"/>
      <c r="D402" s="2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3.5" hidden="false" customHeight="true" outlineLevel="0" collapsed="false">
      <c r="A403" s="2"/>
      <c r="B403" s="2"/>
      <c r="C403" s="2"/>
      <c r="D403" s="2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3.5" hidden="false" customHeight="true" outlineLevel="0" collapsed="false">
      <c r="A404" s="2"/>
      <c r="B404" s="2"/>
      <c r="C404" s="2"/>
      <c r="D404" s="2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3.5" hidden="false" customHeight="true" outlineLevel="0" collapsed="false">
      <c r="A405" s="2"/>
      <c r="B405" s="2"/>
      <c r="C405" s="2"/>
      <c r="D405" s="2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3.5" hidden="false" customHeight="true" outlineLevel="0" collapsed="false">
      <c r="A406" s="2"/>
      <c r="B406" s="2"/>
      <c r="C406" s="2"/>
      <c r="D406" s="2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3.5" hidden="false" customHeight="true" outlineLevel="0" collapsed="false">
      <c r="A407" s="2"/>
      <c r="B407" s="2"/>
      <c r="C407" s="2"/>
      <c r="D407" s="2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3.5" hidden="false" customHeight="true" outlineLevel="0" collapsed="false">
      <c r="A408" s="2"/>
      <c r="B408" s="2"/>
      <c r="C408" s="2"/>
      <c r="D408" s="2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3.5" hidden="false" customHeight="true" outlineLevel="0" collapsed="false">
      <c r="A409" s="2"/>
      <c r="B409" s="2"/>
      <c r="C409" s="2"/>
      <c r="D409" s="2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3.5" hidden="false" customHeight="true" outlineLevel="0" collapsed="false">
      <c r="A410" s="2"/>
      <c r="B410" s="2"/>
      <c r="C410" s="2"/>
      <c r="D410" s="2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3.5" hidden="false" customHeight="true" outlineLevel="0" collapsed="false">
      <c r="A411" s="2"/>
      <c r="B411" s="2"/>
      <c r="C411" s="2"/>
      <c r="D411" s="2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3.5" hidden="false" customHeight="true" outlineLevel="0" collapsed="false">
      <c r="A412" s="2"/>
      <c r="B412" s="2"/>
      <c r="C412" s="2"/>
      <c r="D412" s="2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3.5" hidden="false" customHeight="true" outlineLevel="0" collapsed="false">
      <c r="A413" s="2"/>
      <c r="B413" s="2"/>
      <c r="C413" s="2"/>
      <c r="D413" s="2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3.5" hidden="false" customHeight="true" outlineLevel="0" collapsed="false">
      <c r="A414" s="2"/>
      <c r="B414" s="2"/>
      <c r="C414" s="2"/>
      <c r="D414" s="2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3.5" hidden="false" customHeight="true" outlineLevel="0" collapsed="false">
      <c r="A415" s="2"/>
      <c r="B415" s="2"/>
      <c r="C415" s="2"/>
      <c r="D415" s="2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3.5" hidden="false" customHeight="true" outlineLevel="0" collapsed="false">
      <c r="A416" s="2"/>
      <c r="B416" s="2"/>
      <c r="C416" s="2"/>
      <c r="D416" s="2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3.5" hidden="false" customHeight="true" outlineLevel="0" collapsed="false">
      <c r="A417" s="2"/>
      <c r="B417" s="2"/>
      <c r="C417" s="2"/>
      <c r="D417" s="2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3.5" hidden="false" customHeight="true" outlineLevel="0" collapsed="false">
      <c r="A418" s="2"/>
      <c r="B418" s="2"/>
      <c r="C418" s="2"/>
      <c r="D418" s="2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3.5" hidden="false" customHeight="true" outlineLevel="0" collapsed="false">
      <c r="A419" s="2"/>
      <c r="B419" s="2"/>
      <c r="C419" s="2"/>
      <c r="D419" s="2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3.5" hidden="false" customHeight="true" outlineLevel="0" collapsed="false">
      <c r="A420" s="2"/>
      <c r="B420" s="2"/>
      <c r="C420" s="2"/>
      <c r="D420" s="2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3.5" hidden="false" customHeight="true" outlineLevel="0" collapsed="false">
      <c r="A421" s="2"/>
      <c r="B421" s="2"/>
      <c r="C421" s="2"/>
      <c r="D421" s="2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3.5" hidden="false" customHeight="true" outlineLevel="0" collapsed="false">
      <c r="A422" s="2"/>
      <c r="B422" s="2"/>
      <c r="C422" s="2"/>
      <c r="D422" s="2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3.5" hidden="false" customHeight="true" outlineLevel="0" collapsed="false">
      <c r="A423" s="2"/>
      <c r="B423" s="2"/>
      <c r="C423" s="2"/>
      <c r="D423" s="2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3.5" hidden="false" customHeight="true" outlineLevel="0" collapsed="false">
      <c r="A424" s="2"/>
      <c r="B424" s="2"/>
      <c r="C424" s="2"/>
      <c r="D424" s="2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3.5" hidden="false" customHeight="true" outlineLevel="0" collapsed="false">
      <c r="A425" s="2"/>
      <c r="B425" s="2"/>
      <c r="C425" s="2"/>
      <c r="D425" s="2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3.5" hidden="false" customHeight="true" outlineLevel="0" collapsed="false">
      <c r="A426" s="2"/>
      <c r="B426" s="2"/>
      <c r="C426" s="2"/>
      <c r="D426" s="2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3.5" hidden="false" customHeight="true" outlineLevel="0" collapsed="false">
      <c r="A427" s="2"/>
      <c r="B427" s="2"/>
      <c r="C427" s="2"/>
      <c r="D427" s="2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3.5" hidden="false" customHeight="true" outlineLevel="0" collapsed="false">
      <c r="A428" s="2"/>
      <c r="B428" s="2"/>
      <c r="C428" s="2"/>
      <c r="D428" s="2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3.5" hidden="false" customHeight="true" outlineLevel="0" collapsed="false">
      <c r="A429" s="2"/>
      <c r="B429" s="2"/>
      <c r="C429" s="2"/>
      <c r="D429" s="2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3.5" hidden="false" customHeight="true" outlineLevel="0" collapsed="false">
      <c r="A430" s="2"/>
      <c r="B430" s="2"/>
      <c r="C430" s="2"/>
      <c r="D430" s="2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3.5" hidden="false" customHeight="true" outlineLevel="0" collapsed="false">
      <c r="A431" s="2"/>
      <c r="B431" s="2"/>
      <c r="C431" s="2"/>
      <c r="D431" s="2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3.5" hidden="false" customHeight="true" outlineLevel="0" collapsed="false">
      <c r="A432" s="2"/>
      <c r="B432" s="2"/>
      <c r="C432" s="2"/>
      <c r="D432" s="2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3.5" hidden="false" customHeight="true" outlineLevel="0" collapsed="false">
      <c r="A433" s="2"/>
      <c r="B433" s="2"/>
      <c r="C433" s="2"/>
      <c r="D433" s="2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3.5" hidden="false" customHeight="true" outlineLevel="0" collapsed="false">
      <c r="A434" s="2"/>
      <c r="B434" s="2"/>
      <c r="C434" s="2"/>
      <c r="D434" s="2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3.5" hidden="false" customHeight="true" outlineLevel="0" collapsed="false">
      <c r="A435" s="2"/>
      <c r="B435" s="2"/>
      <c r="C435" s="2"/>
      <c r="D435" s="2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3.5" hidden="false" customHeight="true" outlineLevel="0" collapsed="false">
      <c r="A436" s="2"/>
      <c r="B436" s="2"/>
      <c r="C436" s="2"/>
      <c r="D436" s="2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3.5" hidden="false" customHeight="true" outlineLevel="0" collapsed="false">
      <c r="A437" s="2"/>
      <c r="B437" s="2"/>
      <c r="C437" s="2"/>
      <c r="D437" s="2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3.5" hidden="false" customHeight="true" outlineLevel="0" collapsed="false">
      <c r="A438" s="2"/>
      <c r="B438" s="2"/>
      <c r="C438" s="2"/>
      <c r="D438" s="2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3.5" hidden="false" customHeight="true" outlineLevel="0" collapsed="false">
      <c r="A439" s="2"/>
      <c r="B439" s="2"/>
      <c r="C439" s="2"/>
      <c r="D439" s="2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3.5" hidden="false" customHeight="true" outlineLevel="0" collapsed="false">
      <c r="A440" s="2"/>
      <c r="B440" s="2"/>
      <c r="C440" s="2"/>
      <c r="D440" s="2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3.5" hidden="false" customHeight="true" outlineLevel="0" collapsed="false">
      <c r="A441" s="2"/>
      <c r="B441" s="2"/>
      <c r="C441" s="2"/>
      <c r="D441" s="2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3.5" hidden="false" customHeight="true" outlineLevel="0" collapsed="false">
      <c r="A442" s="2"/>
      <c r="B442" s="2"/>
      <c r="C442" s="2"/>
      <c r="D442" s="2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3.5" hidden="false" customHeight="true" outlineLevel="0" collapsed="false">
      <c r="A443" s="2"/>
      <c r="B443" s="2"/>
      <c r="C443" s="2"/>
      <c r="D443" s="2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3.5" hidden="false" customHeight="true" outlineLevel="0" collapsed="false">
      <c r="A444" s="2"/>
      <c r="B444" s="2"/>
      <c r="C444" s="2"/>
      <c r="D444" s="2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3.5" hidden="false" customHeight="true" outlineLevel="0" collapsed="false">
      <c r="A445" s="2"/>
      <c r="B445" s="2"/>
      <c r="C445" s="2"/>
      <c r="D445" s="2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3.5" hidden="false" customHeight="true" outlineLevel="0" collapsed="false">
      <c r="A446" s="2"/>
      <c r="B446" s="2"/>
      <c r="C446" s="2"/>
      <c r="D446" s="2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3.5" hidden="false" customHeight="true" outlineLevel="0" collapsed="false">
      <c r="A447" s="2"/>
      <c r="B447" s="2"/>
      <c r="C447" s="2"/>
      <c r="D447" s="2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3.5" hidden="false" customHeight="true" outlineLevel="0" collapsed="false">
      <c r="A448" s="2"/>
      <c r="B448" s="2"/>
      <c r="C448" s="2"/>
      <c r="D448" s="2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3.5" hidden="false" customHeight="true" outlineLevel="0" collapsed="false">
      <c r="A449" s="2"/>
      <c r="B449" s="2"/>
      <c r="C449" s="2"/>
      <c r="D449" s="2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3.5" hidden="false" customHeight="true" outlineLevel="0" collapsed="false">
      <c r="A450" s="2"/>
      <c r="B450" s="2"/>
      <c r="C450" s="2"/>
      <c r="D450" s="2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3.5" hidden="false" customHeight="true" outlineLevel="0" collapsed="false">
      <c r="A451" s="2"/>
      <c r="B451" s="2"/>
      <c r="C451" s="2"/>
      <c r="D451" s="2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3.5" hidden="false" customHeight="true" outlineLevel="0" collapsed="false">
      <c r="A452" s="2"/>
      <c r="B452" s="2"/>
      <c r="C452" s="2"/>
      <c r="D452" s="2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3.5" hidden="false" customHeight="true" outlineLevel="0" collapsed="false">
      <c r="A453" s="2"/>
      <c r="B453" s="2"/>
      <c r="C453" s="2"/>
      <c r="D453" s="2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3.5" hidden="false" customHeight="true" outlineLevel="0" collapsed="false">
      <c r="A454" s="2"/>
      <c r="B454" s="2"/>
      <c r="C454" s="2"/>
      <c r="D454" s="2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3.5" hidden="false" customHeight="true" outlineLevel="0" collapsed="false">
      <c r="A455" s="2"/>
      <c r="B455" s="2"/>
      <c r="C455" s="2"/>
      <c r="D455" s="2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3.5" hidden="false" customHeight="true" outlineLevel="0" collapsed="false">
      <c r="A456" s="2"/>
      <c r="B456" s="2"/>
      <c r="C456" s="2"/>
      <c r="D456" s="2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3.5" hidden="false" customHeight="true" outlineLevel="0" collapsed="false">
      <c r="A457" s="2"/>
      <c r="B457" s="2"/>
      <c r="C457" s="2"/>
      <c r="D457" s="2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3.5" hidden="false" customHeight="true" outlineLevel="0" collapsed="false">
      <c r="A458" s="2"/>
      <c r="B458" s="2"/>
      <c r="C458" s="2"/>
      <c r="D458" s="2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3.5" hidden="false" customHeight="true" outlineLevel="0" collapsed="false">
      <c r="A459" s="2"/>
      <c r="B459" s="2"/>
      <c r="C459" s="2"/>
      <c r="D459" s="2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3.5" hidden="false" customHeight="true" outlineLevel="0" collapsed="false">
      <c r="A460" s="2"/>
      <c r="B460" s="2"/>
      <c r="C460" s="2"/>
      <c r="D460" s="2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3.5" hidden="false" customHeight="true" outlineLevel="0" collapsed="false">
      <c r="A461" s="2"/>
      <c r="B461" s="2"/>
      <c r="C461" s="2"/>
      <c r="D461" s="2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3.5" hidden="false" customHeight="true" outlineLevel="0" collapsed="false">
      <c r="A462" s="2"/>
      <c r="B462" s="2"/>
      <c r="C462" s="2"/>
      <c r="D462" s="2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3.5" hidden="false" customHeight="true" outlineLevel="0" collapsed="false">
      <c r="A463" s="2"/>
      <c r="B463" s="2"/>
      <c r="C463" s="2"/>
      <c r="D463" s="2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3.5" hidden="false" customHeight="true" outlineLevel="0" collapsed="false">
      <c r="A464" s="2"/>
      <c r="B464" s="2"/>
      <c r="C464" s="2"/>
      <c r="D464" s="2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3.5" hidden="false" customHeight="true" outlineLevel="0" collapsed="false">
      <c r="A465" s="2"/>
      <c r="B465" s="2"/>
      <c r="C465" s="2"/>
      <c r="D465" s="2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3.5" hidden="false" customHeight="true" outlineLevel="0" collapsed="false">
      <c r="A466" s="2"/>
      <c r="B466" s="2"/>
      <c r="C466" s="2"/>
      <c r="D466" s="2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3.5" hidden="false" customHeight="true" outlineLevel="0" collapsed="false">
      <c r="A467" s="2"/>
      <c r="B467" s="2"/>
      <c r="C467" s="2"/>
      <c r="D467" s="2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3.5" hidden="false" customHeight="true" outlineLevel="0" collapsed="false">
      <c r="A468" s="2"/>
      <c r="B468" s="2"/>
      <c r="C468" s="2"/>
      <c r="D468" s="2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3.5" hidden="false" customHeight="true" outlineLevel="0" collapsed="false">
      <c r="A469" s="2"/>
      <c r="B469" s="2"/>
      <c r="C469" s="2"/>
      <c r="D469" s="2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3.5" hidden="false" customHeight="true" outlineLevel="0" collapsed="false">
      <c r="A470" s="2"/>
      <c r="B470" s="2"/>
      <c r="C470" s="2"/>
      <c r="D470" s="2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3.5" hidden="false" customHeight="true" outlineLevel="0" collapsed="false">
      <c r="A471" s="2"/>
      <c r="B471" s="2"/>
      <c r="C471" s="2"/>
      <c r="D471" s="2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3.5" hidden="false" customHeight="true" outlineLevel="0" collapsed="false">
      <c r="A472" s="2"/>
      <c r="B472" s="2"/>
      <c r="C472" s="2"/>
      <c r="D472" s="2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3.5" hidden="false" customHeight="true" outlineLevel="0" collapsed="false">
      <c r="A473" s="2"/>
      <c r="B473" s="2"/>
      <c r="C473" s="2"/>
      <c r="D473" s="2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3.5" hidden="false" customHeight="true" outlineLevel="0" collapsed="false">
      <c r="A474" s="2"/>
      <c r="B474" s="2"/>
      <c r="C474" s="2"/>
      <c r="D474" s="2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3.5" hidden="false" customHeight="true" outlineLevel="0" collapsed="false">
      <c r="A475" s="2"/>
      <c r="B475" s="2"/>
      <c r="C475" s="2"/>
      <c r="D475" s="2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3.5" hidden="false" customHeight="true" outlineLevel="0" collapsed="false">
      <c r="A476" s="2"/>
      <c r="B476" s="2"/>
      <c r="C476" s="2"/>
      <c r="D476" s="2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3.5" hidden="false" customHeight="true" outlineLevel="0" collapsed="false">
      <c r="A477" s="2"/>
      <c r="B477" s="2"/>
      <c r="C477" s="2"/>
      <c r="D477" s="2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3.5" hidden="false" customHeight="true" outlineLevel="0" collapsed="false">
      <c r="A478" s="2"/>
      <c r="B478" s="2"/>
      <c r="C478" s="2"/>
      <c r="D478" s="2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3.5" hidden="false" customHeight="true" outlineLevel="0" collapsed="false">
      <c r="A479" s="2"/>
      <c r="B479" s="2"/>
      <c r="C479" s="2"/>
      <c r="D479" s="2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3.5" hidden="false" customHeight="true" outlineLevel="0" collapsed="false">
      <c r="A480" s="2"/>
      <c r="B480" s="2"/>
      <c r="C480" s="2"/>
      <c r="D480" s="2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3.5" hidden="false" customHeight="true" outlineLevel="0" collapsed="false">
      <c r="A481" s="2"/>
      <c r="B481" s="2"/>
      <c r="C481" s="2"/>
      <c r="D481" s="2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3.5" hidden="false" customHeight="true" outlineLevel="0" collapsed="false">
      <c r="A482" s="2"/>
      <c r="B482" s="2"/>
      <c r="C482" s="2"/>
      <c r="D482" s="2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3.5" hidden="false" customHeight="true" outlineLevel="0" collapsed="false">
      <c r="A483" s="2"/>
      <c r="B483" s="2"/>
      <c r="C483" s="2"/>
      <c r="D483" s="2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3.5" hidden="false" customHeight="true" outlineLevel="0" collapsed="false">
      <c r="A484" s="2"/>
      <c r="B484" s="2"/>
      <c r="C484" s="2"/>
      <c r="D484" s="2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3.5" hidden="false" customHeight="true" outlineLevel="0" collapsed="false">
      <c r="A485" s="2"/>
      <c r="B485" s="2"/>
      <c r="C485" s="2"/>
      <c r="D485" s="2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3.5" hidden="false" customHeight="true" outlineLevel="0" collapsed="false">
      <c r="A486" s="2"/>
      <c r="B486" s="2"/>
      <c r="C486" s="2"/>
      <c r="D486" s="2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3.5" hidden="false" customHeight="true" outlineLevel="0" collapsed="false">
      <c r="A487" s="2"/>
      <c r="B487" s="2"/>
      <c r="C487" s="2"/>
      <c r="D487" s="2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3.5" hidden="false" customHeight="true" outlineLevel="0" collapsed="false">
      <c r="A488" s="2"/>
      <c r="B488" s="2"/>
      <c r="C488" s="2"/>
      <c r="D488" s="2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3.5" hidden="false" customHeight="true" outlineLevel="0" collapsed="false">
      <c r="A489" s="2"/>
      <c r="B489" s="2"/>
      <c r="C489" s="2"/>
      <c r="D489" s="2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3.5" hidden="false" customHeight="true" outlineLevel="0" collapsed="false">
      <c r="A490" s="2"/>
      <c r="B490" s="2"/>
      <c r="C490" s="2"/>
      <c r="D490" s="2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3.5" hidden="false" customHeight="true" outlineLevel="0" collapsed="false">
      <c r="A491" s="2"/>
      <c r="B491" s="2"/>
      <c r="C491" s="2"/>
      <c r="D491" s="2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3.5" hidden="false" customHeight="true" outlineLevel="0" collapsed="false">
      <c r="A492" s="2"/>
      <c r="B492" s="2"/>
      <c r="C492" s="2"/>
      <c r="D492" s="2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3.5" hidden="false" customHeight="true" outlineLevel="0" collapsed="false">
      <c r="A493" s="2"/>
      <c r="B493" s="2"/>
      <c r="C493" s="2"/>
      <c r="D493" s="2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3.5" hidden="false" customHeight="true" outlineLevel="0" collapsed="false">
      <c r="A494" s="2"/>
      <c r="B494" s="2"/>
      <c r="C494" s="2"/>
      <c r="D494" s="2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3.5" hidden="false" customHeight="true" outlineLevel="0" collapsed="false">
      <c r="A495" s="2"/>
      <c r="B495" s="2"/>
      <c r="C495" s="2"/>
      <c r="D495" s="2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3.5" hidden="false" customHeight="true" outlineLevel="0" collapsed="false">
      <c r="A496" s="2"/>
      <c r="B496" s="2"/>
      <c r="C496" s="2"/>
      <c r="D496" s="2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3.5" hidden="false" customHeight="true" outlineLevel="0" collapsed="false">
      <c r="A497" s="2"/>
      <c r="B497" s="2"/>
      <c r="C497" s="2"/>
      <c r="D497" s="2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3.5" hidden="false" customHeight="true" outlineLevel="0" collapsed="false">
      <c r="A498" s="2"/>
      <c r="B498" s="2"/>
      <c r="C498" s="2"/>
      <c r="D498" s="2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3.5" hidden="false" customHeight="true" outlineLevel="0" collapsed="false">
      <c r="A499" s="2"/>
      <c r="B499" s="2"/>
      <c r="C499" s="2"/>
      <c r="D499" s="2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3.5" hidden="false" customHeight="true" outlineLevel="0" collapsed="false">
      <c r="A500" s="2"/>
      <c r="B500" s="2"/>
      <c r="C500" s="2"/>
      <c r="D500" s="2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3.5" hidden="false" customHeight="true" outlineLevel="0" collapsed="false">
      <c r="A501" s="2"/>
      <c r="B501" s="2"/>
      <c r="C501" s="2"/>
      <c r="D501" s="2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3.5" hidden="false" customHeight="true" outlineLevel="0" collapsed="false">
      <c r="A502" s="2"/>
      <c r="B502" s="2"/>
      <c r="C502" s="2"/>
      <c r="D502" s="2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3.5" hidden="false" customHeight="true" outlineLevel="0" collapsed="false">
      <c r="A503" s="2"/>
      <c r="B503" s="2"/>
      <c r="C503" s="2"/>
      <c r="D503" s="2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3.5" hidden="false" customHeight="true" outlineLevel="0" collapsed="false">
      <c r="A504" s="2"/>
      <c r="B504" s="2"/>
      <c r="C504" s="2"/>
      <c r="D504" s="2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3.5" hidden="false" customHeight="true" outlineLevel="0" collapsed="false">
      <c r="A505" s="2"/>
      <c r="B505" s="2"/>
      <c r="C505" s="2"/>
      <c r="D505" s="2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3.5" hidden="false" customHeight="true" outlineLevel="0" collapsed="false">
      <c r="A506" s="2"/>
      <c r="B506" s="2"/>
      <c r="C506" s="2"/>
      <c r="D506" s="2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3.5" hidden="false" customHeight="true" outlineLevel="0" collapsed="false">
      <c r="A507" s="2"/>
      <c r="B507" s="2"/>
      <c r="C507" s="2"/>
      <c r="D507" s="2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3.5" hidden="false" customHeight="true" outlineLevel="0" collapsed="false">
      <c r="A508" s="2"/>
      <c r="B508" s="2"/>
      <c r="C508" s="2"/>
      <c r="D508" s="2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3.5" hidden="false" customHeight="true" outlineLevel="0" collapsed="false">
      <c r="A509" s="2"/>
      <c r="B509" s="2"/>
      <c r="C509" s="2"/>
      <c r="D509" s="2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3.5" hidden="false" customHeight="true" outlineLevel="0" collapsed="false">
      <c r="A510" s="2"/>
      <c r="B510" s="2"/>
      <c r="C510" s="2"/>
      <c r="D510" s="2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3.5" hidden="false" customHeight="true" outlineLevel="0" collapsed="false">
      <c r="A511" s="2"/>
      <c r="B511" s="2"/>
      <c r="C511" s="2"/>
      <c r="D511" s="2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3.5" hidden="false" customHeight="true" outlineLevel="0" collapsed="false">
      <c r="A512" s="2"/>
      <c r="B512" s="2"/>
      <c r="C512" s="2"/>
      <c r="D512" s="2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3.5" hidden="false" customHeight="true" outlineLevel="0" collapsed="false">
      <c r="A513" s="2"/>
      <c r="B513" s="2"/>
      <c r="C513" s="2"/>
      <c r="D513" s="2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3.5" hidden="false" customHeight="true" outlineLevel="0" collapsed="false">
      <c r="A514" s="2"/>
      <c r="B514" s="2"/>
      <c r="C514" s="2"/>
      <c r="D514" s="2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3.5" hidden="false" customHeight="true" outlineLevel="0" collapsed="false">
      <c r="A515" s="2"/>
      <c r="B515" s="2"/>
      <c r="C515" s="2"/>
      <c r="D515" s="2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3.5" hidden="false" customHeight="true" outlineLevel="0" collapsed="false">
      <c r="A516" s="2"/>
      <c r="B516" s="2"/>
      <c r="C516" s="2"/>
      <c r="D516" s="2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3.5" hidden="false" customHeight="true" outlineLevel="0" collapsed="false">
      <c r="A517" s="2"/>
      <c r="B517" s="2"/>
      <c r="C517" s="2"/>
      <c r="D517" s="2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3.5" hidden="false" customHeight="true" outlineLevel="0" collapsed="false">
      <c r="A518" s="2"/>
      <c r="B518" s="2"/>
      <c r="C518" s="2"/>
      <c r="D518" s="2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3.5" hidden="false" customHeight="true" outlineLevel="0" collapsed="false">
      <c r="A519" s="2"/>
      <c r="B519" s="2"/>
      <c r="C519" s="2"/>
      <c r="D519" s="2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3.5" hidden="false" customHeight="true" outlineLevel="0" collapsed="false">
      <c r="A520" s="2"/>
      <c r="B520" s="2"/>
      <c r="C520" s="2"/>
      <c r="D520" s="2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3.5" hidden="false" customHeight="true" outlineLevel="0" collapsed="false">
      <c r="A521" s="2"/>
      <c r="B521" s="2"/>
      <c r="C521" s="2"/>
      <c r="D521" s="2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3.5" hidden="false" customHeight="true" outlineLevel="0" collapsed="false">
      <c r="A522" s="2"/>
      <c r="B522" s="2"/>
      <c r="C522" s="2"/>
      <c r="D522" s="2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3.5" hidden="false" customHeight="true" outlineLevel="0" collapsed="false">
      <c r="A523" s="2"/>
      <c r="B523" s="2"/>
      <c r="C523" s="2"/>
      <c r="D523" s="2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3.5" hidden="false" customHeight="true" outlineLevel="0" collapsed="false">
      <c r="A524" s="2"/>
      <c r="B524" s="2"/>
      <c r="C524" s="2"/>
      <c r="D524" s="2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3.5" hidden="false" customHeight="true" outlineLevel="0" collapsed="false">
      <c r="A525" s="2"/>
      <c r="B525" s="2"/>
      <c r="C525" s="2"/>
      <c r="D525" s="2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3.5" hidden="false" customHeight="true" outlineLevel="0" collapsed="false">
      <c r="A526" s="2"/>
      <c r="B526" s="2"/>
      <c r="C526" s="2"/>
      <c r="D526" s="2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3.5" hidden="false" customHeight="true" outlineLevel="0" collapsed="false">
      <c r="A527" s="2"/>
      <c r="B527" s="2"/>
      <c r="C527" s="2"/>
      <c r="D527" s="2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3.5" hidden="false" customHeight="true" outlineLevel="0" collapsed="false">
      <c r="A528" s="2"/>
      <c r="B528" s="2"/>
      <c r="C528" s="2"/>
      <c r="D528" s="2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3.5" hidden="false" customHeight="true" outlineLevel="0" collapsed="false">
      <c r="A529" s="2"/>
      <c r="B529" s="2"/>
      <c r="C529" s="2"/>
      <c r="D529" s="2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3.5" hidden="false" customHeight="true" outlineLevel="0" collapsed="false">
      <c r="A530" s="2"/>
      <c r="B530" s="2"/>
      <c r="C530" s="2"/>
      <c r="D530" s="2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3.5" hidden="false" customHeight="true" outlineLevel="0" collapsed="false">
      <c r="A531" s="2"/>
      <c r="B531" s="2"/>
      <c r="C531" s="2"/>
      <c r="D531" s="2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3.5" hidden="false" customHeight="true" outlineLevel="0" collapsed="false">
      <c r="A532" s="2"/>
      <c r="B532" s="2"/>
      <c r="C532" s="2"/>
      <c r="D532" s="2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3.5" hidden="false" customHeight="true" outlineLevel="0" collapsed="false">
      <c r="A533" s="2"/>
      <c r="B533" s="2"/>
      <c r="C533" s="2"/>
      <c r="D533" s="2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3.5" hidden="false" customHeight="true" outlineLevel="0" collapsed="false">
      <c r="A534" s="2"/>
      <c r="B534" s="2"/>
      <c r="C534" s="2"/>
      <c r="D534" s="2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3.5" hidden="false" customHeight="true" outlineLevel="0" collapsed="false">
      <c r="A535" s="2"/>
      <c r="B535" s="2"/>
      <c r="C535" s="2"/>
      <c r="D535" s="2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3.5" hidden="false" customHeight="true" outlineLevel="0" collapsed="false">
      <c r="A536" s="2"/>
      <c r="B536" s="2"/>
      <c r="C536" s="2"/>
      <c r="D536" s="2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3.5" hidden="false" customHeight="true" outlineLevel="0" collapsed="false">
      <c r="A537" s="2"/>
      <c r="B537" s="2"/>
      <c r="C537" s="2"/>
      <c r="D537" s="2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3.5" hidden="false" customHeight="true" outlineLevel="0" collapsed="false">
      <c r="A538" s="2"/>
      <c r="B538" s="2"/>
      <c r="C538" s="2"/>
      <c r="D538" s="2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3.5" hidden="false" customHeight="true" outlineLevel="0" collapsed="false">
      <c r="A539" s="2"/>
      <c r="B539" s="2"/>
      <c r="C539" s="2"/>
      <c r="D539" s="2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3.5" hidden="false" customHeight="true" outlineLevel="0" collapsed="false">
      <c r="A540" s="2"/>
      <c r="B540" s="2"/>
      <c r="C540" s="2"/>
      <c r="D540" s="2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3.5" hidden="false" customHeight="true" outlineLevel="0" collapsed="false">
      <c r="A541" s="2"/>
      <c r="B541" s="2"/>
      <c r="C541" s="2"/>
      <c r="D541" s="2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3.5" hidden="false" customHeight="true" outlineLevel="0" collapsed="false">
      <c r="A542" s="2"/>
      <c r="B542" s="2"/>
      <c r="C542" s="2"/>
      <c r="D542" s="2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3.5" hidden="false" customHeight="true" outlineLevel="0" collapsed="false">
      <c r="A543" s="2"/>
      <c r="B543" s="2"/>
      <c r="C543" s="2"/>
      <c r="D543" s="2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3.5" hidden="false" customHeight="true" outlineLevel="0" collapsed="false">
      <c r="A544" s="2"/>
      <c r="B544" s="2"/>
      <c r="C544" s="2"/>
      <c r="D544" s="2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3.5" hidden="false" customHeight="true" outlineLevel="0" collapsed="false">
      <c r="A545" s="2"/>
      <c r="B545" s="2"/>
      <c r="C545" s="2"/>
      <c r="D545" s="2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3.5" hidden="false" customHeight="true" outlineLevel="0" collapsed="false">
      <c r="A546" s="2"/>
      <c r="B546" s="2"/>
      <c r="C546" s="2"/>
      <c r="D546" s="2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3.5" hidden="false" customHeight="true" outlineLevel="0" collapsed="false">
      <c r="A547" s="2"/>
      <c r="B547" s="2"/>
      <c r="C547" s="2"/>
      <c r="D547" s="2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3.5" hidden="false" customHeight="true" outlineLevel="0" collapsed="false">
      <c r="A548" s="2"/>
      <c r="B548" s="2"/>
      <c r="C548" s="2"/>
      <c r="D548" s="2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3.5" hidden="false" customHeight="true" outlineLevel="0" collapsed="false">
      <c r="A549" s="2"/>
      <c r="B549" s="2"/>
      <c r="C549" s="2"/>
      <c r="D549" s="2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3.5" hidden="false" customHeight="true" outlineLevel="0" collapsed="false">
      <c r="A550" s="2"/>
      <c r="B550" s="2"/>
      <c r="C550" s="2"/>
      <c r="D550" s="2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3.5" hidden="false" customHeight="true" outlineLevel="0" collapsed="false">
      <c r="A551" s="2"/>
      <c r="B551" s="2"/>
      <c r="C551" s="2"/>
      <c r="D551" s="2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3.5" hidden="false" customHeight="true" outlineLevel="0" collapsed="false">
      <c r="A552" s="2"/>
      <c r="B552" s="2"/>
      <c r="C552" s="2"/>
      <c r="D552" s="2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3.5" hidden="false" customHeight="true" outlineLevel="0" collapsed="false">
      <c r="A553" s="2"/>
      <c r="B553" s="2"/>
      <c r="C553" s="2"/>
      <c r="D553" s="2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3.5" hidden="false" customHeight="true" outlineLevel="0" collapsed="false">
      <c r="A554" s="2"/>
      <c r="B554" s="2"/>
      <c r="C554" s="2"/>
      <c r="D554" s="2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3.5" hidden="false" customHeight="true" outlineLevel="0" collapsed="false">
      <c r="A555" s="2"/>
      <c r="B555" s="2"/>
      <c r="C555" s="2"/>
      <c r="D555" s="2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3.5" hidden="false" customHeight="true" outlineLevel="0" collapsed="false">
      <c r="A556" s="2"/>
      <c r="B556" s="2"/>
      <c r="C556" s="2"/>
      <c r="D556" s="2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3.5" hidden="false" customHeight="true" outlineLevel="0" collapsed="false">
      <c r="A557" s="2"/>
      <c r="B557" s="2"/>
      <c r="C557" s="2"/>
      <c r="D557" s="2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3.5" hidden="false" customHeight="true" outlineLevel="0" collapsed="false">
      <c r="A558" s="2"/>
      <c r="B558" s="2"/>
      <c r="C558" s="2"/>
      <c r="D558" s="2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3.5" hidden="false" customHeight="true" outlineLevel="0" collapsed="false">
      <c r="A559" s="2"/>
      <c r="B559" s="2"/>
      <c r="C559" s="2"/>
      <c r="D559" s="2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3.5" hidden="false" customHeight="true" outlineLevel="0" collapsed="false">
      <c r="A560" s="2"/>
      <c r="B560" s="2"/>
      <c r="C560" s="2"/>
      <c r="D560" s="2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3.5" hidden="false" customHeight="true" outlineLevel="0" collapsed="false">
      <c r="A561" s="2"/>
      <c r="B561" s="2"/>
      <c r="C561" s="2"/>
      <c r="D561" s="2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3.5" hidden="false" customHeight="true" outlineLevel="0" collapsed="false">
      <c r="A562" s="2"/>
      <c r="B562" s="2"/>
      <c r="C562" s="2"/>
      <c r="D562" s="2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3.5" hidden="false" customHeight="true" outlineLevel="0" collapsed="false">
      <c r="A563" s="2"/>
      <c r="B563" s="2"/>
      <c r="C563" s="2"/>
      <c r="D563" s="2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3.5" hidden="false" customHeight="true" outlineLevel="0" collapsed="false">
      <c r="A564" s="2"/>
      <c r="B564" s="2"/>
      <c r="C564" s="2"/>
      <c r="D564" s="2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3.5" hidden="false" customHeight="true" outlineLevel="0" collapsed="false">
      <c r="A565" s="2"/>
      <c r="B565" s="2"/>
      <c r="C565" s="2"/>
      <c r="D565" s="2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3.5" hidden="false" customHeight="true" outlineLevel="0" collapsed="false">
      <c r="A566" s="2"/>
      <c r="B566" s="2"/>
      <c r="C566" s="2"/>
      <c r="D566" s="2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3.5" hidden="false" customHeight="true" outlineLevel="0" collapsed="false">
      <c r="A567" s="2"/>
      <c r="B567" s="2"/>
      <c r="C567" s="2"/>
      <c r="D567" s="2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3.5" hidden="false" customHeight="true" outlineLevel="0" collapsed="false">
      <c r="A568" s="2"/>
      <c r="B568" s="2"/>
      <c r="C568" s="2"/>
      <c r="D568" s="2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3.5" hidden="false" customHeight="true" outlineLevel="0" collapsed="false">
      <c r="A569" s="2"/>
      <c r="B569" s="2"/>
      <c r="C569" s="2"/>
      <c r="D569" s="2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3.5" hidden="false" customHeight="true" outlineLevel="0" collapsed="false">
      <c r="A570" s="2"/>
      <c r="B570" s="2"/>
      <c r="C570" s="2"/>
      <c r="D570" s="2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3.5" hidden="false" customHeight="true" outlineLevel="0" collapsed="false">
      <c r="A571" s="2"/>
      <c r="B571" s="2"/>
      <c r="C571" s="2"/>
      <c r="D571" s="2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3.5" hidden="false" customHeight="true" outlineLevel="0" collapsed="false">
      <c r="A572" s="2"/>
      <c r="B572" s="2"/>
      <c r="C572" s="2"/>
      <c r="D572" s="2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3.5" hidden="false" customHeight="true" outlineLevel="0" collapsed="false">
      <c r="A573" s="2"/>
      <c r="B573" s="2"/>
      <c r="C573" s="2"/>
      <c r="D573" s="2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3.5" hidden="false" customHeight="true" outlineLevel="0" collapsed="false">
      <c r="A574" s="2"/>
      <c r="B574" s="2"/>
      <c r="C574" s="2"/>
      <c r="D574" s="2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3.5" hidden="false" customHeight="true" outlineLevel="0" collapsed="false">
      <c r="A575" s="2"/>
      <c r="B575" s="2"/>
      <c r="C575" s="2"/>
      <c r="D575" s="2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3.5" hidden="false" customHeight="true" outlineLevel="0" collapsed="false">
      <c r="A576" s="2"/>
      <c r="B576" s="2"/>
      <c r="C576" s="2"/>
      <c r="D576" s="2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3.5" hidden="false" customHeight="true" outlineLevel="0" collapsed="false">
      <c r="A577" s="2"/>
      <c r="B577" s="2"/>
      <c r="C577" s="2"/>
      <c r="D577" s="2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3.5" hidden="false" customHeight="true" outlineLevel="0" collapsed="false">
      <c r="A578" s="2"/>
      <c r="B578" s="2"/>
      <c r="C578" s="2"/>
      <c r="D578" s="2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3.5" hidden="false" customHeight="true" outlineLevel="0" collapsed="false">
      <c r="A579" s="2"/>
      <c r="B579" s="2"/>
      <c r="C579" s="2"/>
      <c r="D579" s="2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3.5" hidden="false" customHeight="true" outlineLevel="0" collapsed="false">
      <c r="A580" s="2"/>
      <c r="B580" s="2"/>
      <c r="C580" s="2"/>
      <c r="D580" s="2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3.5" hidden="false" customHeight="true" outlineLevel="0" collapsed="false">
      <c r="A581" s="2"/>
      <c r="B581" s="2"/>
      <c r="C581" s="2"/>
      <c r="D581" s="2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3.5" hidden="false" customHeight="true" outlineLevel="0" collapsed="false">
      <c r="A582" s="2"/>
      <c r="B582" s="2"/>
      <c r="C582" s="2"/>
      <c r="D582" s="2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3.5" hidden="false" customHeight="true" outlineLevel="0" collapsed="false">
      <c r="A583" s="2"/>
      <c r="B583" s="2"/>
      <c r="C583" s="2"/>
      <c r="D583" s="2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3.5" hidden="false" customHeight="true" outlineLevel="0" collapsed="false">
      <c r="A584" s="2"/>
      <c r="B584" s="2"/>
      <c r="C584" s="2"/>
      <c r="D584" s="2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3.5" hidden="false" customHeight="true" outlineLevel="0" collapsed="false">
      <c r="A585" s="2"/>
      <c r="B585" s="2"/>
      <c r="C585" s="2"/>
      <c r="D585" s="2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3.5" hidden="false" customHeight="true" outlineLevel="0" collapsed="false">
      <c r="A586" s="2"/>
      <c r="B586" s="2"/>
      <c r="C586" s="2"/>
      <c r="D586" s="2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3.5" hidden="false" customHeight="true" outlineLevel="0" collapsed="false">
      <c r="A587" s="2"/>
      <c r="B587" s="2"/>
      <c r="C587" s="2"/>
      <c r="D587" s="2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3.5" hidden="false" customHeight="true" outlineLevel="0" collapsed="false">
      <c r="A588" s="2"/>
      <c r="B588" s="2"/>
      <c r="C588" s="2"/>
      <c r="D588" s="2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3.5" hidden="false" customHeight="true" outlineLevel="0" collapsed="false">
      <c r="A589" s="2"/>
      <c r="B589" s="2"/>
      <c r="C589" s="2"/>
      <c r="D589" s="2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3.5" hidden="false" customHeight="true" outlineLevel="0" collapsed="false">
      <c r="A590" s="2"/>
      <c r="B590" s="2"/>
      <c r="C590" s="2"/>
      <c r="D590" s="2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3.5" hidden="false" customHeight="true" outlineLevel="0" collapsed="false">
      <c r="A591" s="2"/>
      <c r="B591" s="2"/>
      <c r="C591" s="2"/>
      <c r="D591" s="2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3.5" hidden="false" customHeight="true" outlineLevel="0" collapsed="false">
      <c r="A592" s="2"/>
      <c r="B592" s="2"/>
      <c r="C592" s="2"/>
      <c r="D592" s="2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3.5" hidden="false" customHeight="true" outlineLevel="0" collapsed="false">
      <c r="A593" s="2"/>
      <c r="B593" s="2"/>
      <c r="C593" s="2"/>
      <c r="D593" s="2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3.5" hidden="false" customHeight="true" outlineLevel="0" collapsed="false">
      <c r="A594" s="2"/>
      <c r="B594" s="2"/>
      <c r="C594" s="2"/>
      <c r="D594" s="2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3.5" hidden="false" customHeight="true" outlineLevel="0" collapsed="false">
      <c r="A595" s="2"/>
      <c r="B595" s="2"/>
      <c r="C595" s="2"/>
      <c r="D595" s="2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3.5" hidden="false" customHeight="true" outlineLevel="0" collapsed="false">
      <c r="A596" s="2"/>
      <c r="B596" s="2"/>
      <c r="C596" s="2"/>
      <c r="D596" s="2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3.5" hidden="false" customHeight="true" outlineLevel="0" collapsed="false">
      <c r="A597" s="2"/>
      <c r="B597" s="2"/>
      <c r="C597" s="2"/>
      <c r="D597" s="2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3.5" hidden="false" customHeight="true" outlineLevel="0" collapsed="false">
      <c r="A598" s="2"/>
      <c r="B598" s="2"/>
      <c r="C598" s="2"/>
      <c r="D598" s="2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3.5" hidden="false" customHeight="true" outlineLevel="0" collapsed="false">
      <c r="A599" s="2"/>
      <c r="B599" s="2"/>
      <c r="C599" s="2"/>
      <c r="D599" s="2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3.5" hidden="false" customHeight="true" outlineLevel="0" collapsed="false">
      <c r="A600" s="2"/>
      <c r="B600" s="2"/>
      <c r="C600" s="2"/>
      <c r="D600" s="2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3.5" hidden="false" customHeight="true" outlineLevel="0" collapsed="false">
      <c r="A601" s="2"/>
      <c r="B601" s="2"/>
      <c r="C601" s="2"/>
      <c r="D601" s="2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3.5" hidden="false" customHeight="true" outlineLevel="0" collapsed="false">
      <c r="A602" s="2"/>
      <c r="B602" s="2"/>
      <c r="C602" s="2"/>
      <c r="D602" s="2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3.5" hidden="false" customHeight="true" outlineLevel="0" collapsed="false">
      <c r="A603" s="2"/>
      <c r="B603" s="2"/>
      <c r="C603" s="2"/>
      <c r="D603" s="2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3.5" hidden="false" customHeight="true" outlineLevel="0" collapsed="false">
      <c r="A604" s="2"/>
      <c r="B604" s="2"/>
      <c r="C604" s="2"/>
      <c r="D604" s="2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3.5" hidden="false" customHeight="true" outlineLevel="0" collapsed="false">
      <c r="A605" s="2"/>
      <c r="B605" s="2"/>
      <c r="C605" s="2"/>
      <c r="D605" s="2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3.5" hidden="false" customHeight="true" outlineLevel="0" collapsed="false">
      <c r="A606" s="2"/>
      <c r="B606" s="2"/>
      <c r="C606" s="2"/>
      <c r="D606" s="2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3.5" hidden="false" customHeight="true" outlineLevel="0" collapsed="false">
      <c r="A607" s="2"/>
      <c r="B607" s="2"/>
      <c r="C607" s="2"/>
      <c r="D607" s="2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3.5" hidden="false" customHeight="true" outlineLevel="0" collapsed="false">
      <c r="A608" s="2"/>
      <c r="B608" s="2"/>
      <c r="C608" s="2"/>
      <c r="D608" s="2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3.5" hidden="false" customHeight="true" outlineLevel="0" collapsed="false">
      <c r="A609" s="2"/>
      <c r="B609" s="2"/>
      <c r="C609" s="2"/>
      <c r="D609" s="2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3.5" hidden="false" customHeight="true" outlineLevel="0" collapsed="false">
      <c r="A610" s="2"/>
      <c r="B610" s="2"/>
      <c r="C610" s="2"/>
      <c r="D610" s="2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3.5" hidden="false" customHeight="true" outlineLevel="0" collapsed="false">
      <c r="A611" s="2"/>
      <c r="B611" s="2"/>
      <c r="C611" s="2"/>
      <c r="D611" s="2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3.5" hidden="false" customHeight="true" outlineLevel="0" collapsed="false">
      <c r="A612" s="2"/>
      <c r="B612" s="2"/>
      <c r="C612" s="2"/>
      <c r="D612" s="2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3.5" hidden="false" customHeight="true" outlineLevel="0" collapsed="false">
      <c r="A613" s="2"/>
      <c r="B613" s="2"/>
      <c r="C613" s="2"/>
      <c r="D613" s="2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3.5" hidden="false" customHeight="true" outlineLevel="0" collapsed="false">
      <c r="A614" s="2"/>
      <c r="B614" s="2"/>
      <c r="C614" s="2"/>
      <c r="D614" s="2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3.5" hidden="false" customHeight="true" outlineLevel="0" collapsed="false">
      <c r="A615" s="2"/>
      <c r="B615" s="2"/>
      <c r="C615" s="2"/>
      <c r="D615" s="2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3.5" hidden="false" customHeight="true" outlineLevel="0" collapsed="false">
      <c r="A616" s="2"/>
      <c r="B616" s="2"/>
      <c r="C616" s="2"/>
      <c r="D616" s="2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3.5" hidden="false" customHeight="true" outlineLevel="0" collapsed="false">
      <c r="A617" s="2"/>
      <c r="B617" s="2"/>
      <c r="C617" s="2"/>
      <c r="D617" s="2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3.5" hidden="false" customHeight="true" outlineLevel="0" collapsed="false">
      <c r="A618" s="2"/>
      <c r="B618" s="2"/>
      <c r="C618" s="2"/>
      <c r="D618" s="2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3.5" hidden="false" customHeight="true" outlineLevel="0" collapsed="false">
      <c r="A619" s="2"/>
      <c r="B619" s="2"/>
      <c r="C619" s="2"/>
      <c r="D619" s="2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3.5" hidden="false" customHeight="true" outlineLevel="0" collapsed="false">
      <c r="A620" s="2"/>
      <c r="B620" s="2"/>
      <c r="C620" s="2"/>
      <c r="D620" s="2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3.5" hidden="false" customHeight="true" outlineLevel="0" collapsed="false">
      <c r="A621" s="2"/>
      <c r="B621" s="2"/>
      <c r="C621" s="2"/>
      <c r="D621" s="2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3.5" hidden="false" customHeight="true" outlineLevel="0" collapsed="false">
      <c r="A622" s="2"/>
      <c r="B622" s="2"/>
      <c r="C622" s="2"/>
      <c r="D622" s="2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3.5" hidden="false" customHeight="true" outlineLevel="0" collapsed="false">
      <c r="A623" s="2"/>
      <c r="B623" s="2"/>
      <c r="C623" s="2"/>
      <c r="D623" s="2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3.5" hidden="false" customHeight="true" outlineLevel="0" collapsed="false">
      <c r="A624" s="2"/>
      <c r="B624" s="2"/>
      <c r="C624" s="2"/>
      <c r="D624" s="2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3.5" hidden="false" customHeight="true" outlineLevel="0" collapsed="false">
      <c r="A625" s="2"/>
      <c r="B625" s="2"/>
      <c r="C625" s="2"/>
      <c r="D625" s="2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3.5" hidden="false" customHeight="true" outlineLevel="0" collapsed="false">
      <c r="A626" s="2"/>
      <c r="B626" s="2"/>
      <c r="C626" s="2"/>
      <c r="D626" s="2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3.5" hidden="false" customHeight="true" outlineLevel="0" collapsed="false">
      <c r="A627" s="2"/>
      <c r="B627" s="2"/>
      <c r="C627" s="2"/>
      <c r="D627" s="2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3.5" hidden="false" customHeight="true" outlineLevel="0" collapsed="false">
      <c r="A628" s="2"/>
      <c r="B628" s="2"/>
      <c r="C628" s="2"/>
      <c r="D628" s="2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3.5" hidden="false" customHeight="true" outlineLevel="0" collapsed="false">
      <c r="A629" s="2"/>
      <c r="B629" s="2"/>
      <c r="C629" s="2"/>
      <c r="D629" s="2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3.5" hidden="false" customHeight="true" outlineLevel="0" collapsed="false">
      <c r="A630" s="2"/>
      <c r="B630" s="2"/>
      <c r="C630" s="2"/>
      <c r="D630" s="2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3.5" hidden="false" customHeight="true" outlineLevel="0" collapsed="false">
      <c r="A631" s="2"/>
      <c r="B631" s="2"/>
      <c r="C631" s="2"/>
      <c r="D631" s="2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3.5" hidden="false" customHeight="true" outlineLevel="0" collapsed="false">
      <c r="A632" s="2"/>
      <c r="B632" s="2"/>
      <c r="C632" s="2"/>
      <c r="D632" s="2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3.5" hidden="false" customHeight="true" outlineLevel="0" collapsed="false">
      <c r="A633" s="2"/>
      <c r="B633" s="2"/>
      <c r="C633" s="2"/>
      <c r="D633" s="2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3.5" hidden="false" customHeight="true" outlineLevel="0" collapsed="false">
      <c r="A634" s="2"/>
      <c r="B634" s="2"/>
      <c r="C634" s="2"/>
      <c r="D634" s="2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3.5" hidden="false" customHeight="true" outlineLevel="0" collapsed="false">
      <c r="A635" s="2"/>
      <c r="B635" s="2"/>
      <c r="C635" s="2"/>
      <c r="D635" s="2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3.5" hidden="false" customHeight="true" outlineLevel="0" collapsed="false">
      <c r="A636" s="2"/>
      <c r="B636" s="2"/>
      <c r="C636" s="2"/>
      <c r="D636" s="2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3.5" hidden="false" customHeight="true" outlineLevel="0" collapsed="false">
      <c r="A637" s="2"/>
      <c r="B637" s="2"/>
      <c r="C637" s="2"/>
      <c r="D637" s="2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3.5" hidden="false" customHeight="true" outlineLevel="0" collapsed="false">
      <c r="A638" s="2"/>
      <c r="B638" s="2"/>
      <c r="C638" s="2"/>
      <c r="D638" s="2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3.5" hidden="false" customHeight="true" outlineLevel="0" collapsed="false">
      <c r="A639" s="2"/>
      <c r="B639" s="2"/>
      <c r="C639" s="2"/>
      <c r="D639" s="2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3.5" hidden="false" customHeight="true" outlineLevel="0" collapsed="false">
      <c r="A640" s="2"/>
      <c r="B640" s="2"/>
      <c r="C640" s="2"/>
      <c r="D640" s="2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3.5" hidden="false" customHeight="true" outlineLevel="0" collapsed="false">
      <c r="A641" s="2"/>
      <c r="B641" s="2"/>
      <c r="C641" s="2"/>
      <c r="D641" s="2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3.5" hidden="false" customHeight="true" outlineLevel="0" collapsed="false">
      <c r="A642" s="2"/>
      <c r="B642" s="2"/>
      <c r="C642" s="2"/>
      <c r="D642" s="2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3.5" hidden="false" customHeight="true" outlineLevel="0" collapsed="false">
      <c r="A643" s="2"/>
      <c r="B643" s="2"/>
      <c r="C643" s="2"/>
      <c r="D643" s="2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3.5" hidden="false" customHeight="true" outlineLevel="0" collapsed="false">
      <c r="A644" s="2"/>
      <c r="B644" s="2"/>
      <c r="C644" s="2"/>
      <c r="D644" s="2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3.5" hidden="false" customHeight="true" outlineLevel="0" collapsed="false">
      <c r="A645" s="2"/>
      <c r="B645" s="2"/>
      <c r="C645" s="2"/>
      <c r="D645" s="2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3.5" hidden="false" customHeight="true" outlineLevel="0" collapsed="false">
      <c r="A646" s="2"/>
      <c r="B646" s="2"/>
      <c r="C646" s="2"/>
      <c r="D646" s="2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3.5" hidden="false" customHeight="true" outlineLevel="0" collapsed="false">
      <c r="A647" s="2"/>
      <c r="B647" s="2"/>
      <c r="C647" s="2"/>
      <c r="D647" s="2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3.5" hidden="false" customHeight="true" outlineLevel="0" collapsed="false">
      <c r="A648" s="2"/>
      <c r="B648" s="2"/>
      <c r="C648" s="2"/>
      <c r="D648" s="2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3.5" hidden="false" customHeight="true" outlineLevel="0" collapsed="false">
      <c r="A649" s="2"/>
      <c r="B649" s="2"/>
      <c r="C649" s="2"/>
      <c r="D649" s="2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3.5" hidden="false" customHeight="true" outlineLevel="0" collapsed="false">
      <c r="A650" s="2"/>
      <c r="B650" s="2"/>
      <c r="C650" s="2"/>
      <c r="D650" s="2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3.5" hidden="false" customHeight="true" outlineLevel="0" collapsed="false">
      <c r="A651" s="2"/>
      <c r="B651" s="2"/>
      <c r="C651" s="2"/>
      <c r="D651" s="2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3.5" hidden="false" customHeight="true" outlineLevel="0" collapsed="false">
      <c r="A652" s="2"/>
      <c r="B652" s="2"/>
      <c r="C652" s="2"/>
      <c r="D652" s="2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3.5" hidden="false" customHeight="true" outlineLevel="0" collapsed="false">
      <c r="A653" s="2"/>
      <c r="B653" s="2"/>
      <c r="C653" s="2"/>
      <c r="D653" s="2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3.5" hidden="false" customHeight="true" outlineLevel="0" collapsed="false">
      <c r="A654" s="2"/>
      <c r="B654" s="2"/>
      <c r="C654" s="2"/>
      <c r="D654" s="2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3.5" hidden="false" customHeight="true" outlineLevel="0" collapsed="false">
      <c r="A655" s="2"/>
      <c r="B655" s="2"/>
      <c r="C655" s="2"/>
      <c r="D655" s="2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3.5" hidden="false" customHeight="true" outlineLevel="0" collapsed="false">
      <c r="A656" s="2"/>
      <c r="B656" s="2"/>
      <c r="C656" s="2"/>
      <c r="D656" s="2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3.5" hidden="false" customHeight="true" outlineLevel="0" collapsed="false">
      <c r="A657" s="2"/>
      <c r="B657" s="2"/>
      <c r="C657" s="2"/>
      <c r="D657" s="2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3.5" hidden="false" customHeight="true" outlineLevel="0" collapsed="false">
      <c r="A658" s="2"/>
      <c r="B658" s="2"/>
      <c r="C658" s="2"/>
      <c r="D658" s="2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3.5" hidden="false" customHeight="true" outlineLevel="0" collapsed="false">
      <c r="A659" s="2"/>
      <c r="B659" s="2"/>
      <c r="C659" s="2"/>
      <c r="D659" s="2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3.5" hidden="false" customHeight="true" outlineLevel="0" collapsed="false">
      <c r="A660" s="2"/>
      <c r="B660" s="2"/>
      <c r="C660" s="2"/>
      <c r="D660" s="2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3.5" hidden="false" customHeight="true" outlineLevel="0" collapsed="false">
      <c r="A661" s="2"/>
      <c r="B661" s="2"/>
      <c r="C661" s="2"/>
      <c r="D661" s="2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3.5" hidden="false" customHeight="true" outlineLevel="0" collapsed="false">
      <c r="A662" s="2"/>
      <c r="B662" s="2"/>
      <c r="C662" s="2"/>
      <c r="D662" s="2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3.5" hidden="false" customHeight="true" outlineLevel="0" collapsed="false">
      <c r="A663" s="2"/>
      <c r="B663" s="2"/>
      <c r="C663" s="2"/>
      <c r="D663" s="2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3.5" hidden="false" customHeight="true" outlineLevel="0" collapsed="false">
      <c r="A664" s="2"/>
      <c r="B664" s="2"/>
      <c r="C664" s="2"/>
      <c r="D664" s="2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3.5" hidden="false" customHeight="true" outlineLevel="0" collapsed="false">
      <c r="A665" s="2"/>
      <c r="B665" s="2"/>
      <c r="C665" s="2"/>
      <c r="D665" s="2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3.5" hidden="false" customHeight="true" outlineLevel="0" collapsed="false">
      <c r="A666" s="2"/>
      <c r="B666" s="2"/>
      <c r="C666" s="2"/>
      <c r="D666" s="2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3.5" hidden="false" customHeight="true" outlineLevel="0" collapsed="false">
      <c r="A667" s="2"/>
      <c r="B667" s="2"/>
      <c r="C667" s="2"/>
      <c r="D667" s="2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3.5" hidden="false" customHeight="true" outlineLevel="0" collapsed="false">
      <c r="A668" s="2"/>
      <c r="B668" s="2"/>
      <c r="C668" s="2"/>
      <c r="D668" s="2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3.5" hidden="false" customHeight="true" outlineLevel="0" collapsed="false">
      <c r="A669" s="2"/>
      <c r="B669" s="2"/>
      <c r="C669" s="2"/>
      <c r="D669" s="2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3.5" hidden="false" customHeight="true" outlineLevel="0" collapsed="false">
      <c r="A670" s="2"/>
      <c r="B670" s="2"/>
      <c r="C670" s="2"/>
      <c r="D670" s="2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3.5" hidden="false" customHeight="true" outlineLevel="0" collapsed="false">
      <c r="A671" s="2"/>
      <c r="B671" s="2"/>
      <c r="C671" s="2"/>
      <c r="D671" s="2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3.5" hidden="false" customHeight="true" outlineLevel="0" collapsed="false">
      <c r="A672" s="2"/>
      <c r="B672" s="2"/>
      <c r="C672" s="2"/>
      <c r="D672" s="2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3.5" hidden="false" customHeight="true" outlineLevel="0" collapsed="false">
      <c r="A673" s="2"/>
      <c r="B673" s="2"/>
      <c r="C673" s="2"/>
      <c r="D673" s="2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3.5" hidden="false" customHeight="true" outlineLevel="0" collapsed="false">
      <c r="A674" s="2"/>
      <c r="B674" s="2"/>
      <c r="C674" s="2"/>
      <c r="D674" s="2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3.5" hidden="false" customHeight="true" outlineLevel="0" collapsed="false">
      <c r="A675" s="2"/>
      <c r="B675" s="2"/>
      <c r="C675" s="2"/>
      <c r="D675" s="2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3.5" hidden="false" customHeight="true" outlineLevel="0" collapsed="false">
      <c r="A676" s="2"/>
      <c r="B676" s="2"/>
      <c r="C676" s="2"/>
      <c r="D676" s="2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3.5" hidden="false" customHeight="true" outlineLevel="0" collapsed="false">
      <c r="A677" s="2"/>
      <c r="B677" s="2"/>
      <c r="C677" s="2"/>
      <c r="D677" s="2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3.5" hidden="false" customHeight="true" outlineLevel="0" collapsed="false">
      <c r="A678" s="2"/>
      <c r="B678" s="2"/>
      <c r="C678" s="2"/>
      <c r="D678" s="2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3.5" hidden="false" customHeight="true" outlineLevel="0" collapsed="false">
      <c r="A679" s="2"/>
      <c r="B679" s="2"/>
      <c r="C679" s="2"/>
      <c r="D679" s="2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3.5" hidden="false" customHeight="true" outlineLevel="0" collapsed="false">
      <c r="A680" s="2"/>
      <c r="B680" s="2"/>
      <c r="C680" s="2"/>
      <c r="D680" s="2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3.5" hidden="false" customHeight="true" outlineLevel="0" collapsed="false">
      <c r="A681" s="2"/>
      <c r="B681" s="2"/>
      <c r="C681" s="2"/>
      <c r="D681" s="2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3.5" hidden="false" customHeight="true" outlineLevel="0" collapsed="false">
      <c r="A682" s="2"/>
      <c r="B682" s="2"/>
      <c r="C682" s="2"/>
      <c r="D682" s="2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3.5" hidden="false" customHeight="true" outlineLevel="0" collapsed="false">
      <c r="A683" s="2"/>
      <c r="B683" s="2"/>
      <c r="C683" s="2"/>
      <c r="D683" s="2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3.5" hidden="false" customHeight="true" outlineLevel="0" collapsed="false">
      <c r="A684" s="2"/>
      <c r="B684" s="2"/>
      <c r="C684" s="2"/>
      <c r="D684" s="2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3.5" hidden="false" customHeight="true" outlineLevel="0" collapsed="false">
      <c r="A685" s="2"/>
      <c r="B685" s="2"/>
      <c r="C685" s="2"/>
      <c r="D685" s="2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3.5" hidden="false" customHeight="true" outlineLevel="0" collapsed="false">
      <c r="A686" s="2"/>
      <c r="B686" s="2"/>
      <c r="C686" s="2"/>
      <c r="D686" s="2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3.5" hidden="false" customHeight="true" outlineLevel="0" collapsed="false">
      <c r="A687" s="2"/>
      <c r="B687" s="2"/>
      <c r="C687" s="2"/>
      <c r="D687" s="2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3.5" hidden="false" customHeight="true" outlineLevel="0" collapsed="false">
      <c r="A688" s="2"/>
      <c r="B688" s="2"/>
      <c r="C688" s="2"/>
      <c r="D688" s="2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3.5" hidden="false" customHeight="true" outlineLevel="0" collapsed="false">
      <c r="A689" s="2"/>
      <c r="B689" s="2"/>
      <c r="C689" s="2"/>
      <c r="D689" s="2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3.5" hidden="false" customHeight="true" outlineLevel="0" collapsed="false">
      <c r="A690" s="2"/>
      <c r="B690" s="2"/>
      <c r="C690" s="2"/>
      <c r="D690" s="2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3.5" hidden="false" customHeight="true" outlineLevel="0" collapsed="false">
      <c r="A691" s="2"/>
      <c r="B691" s="2"/>
      <c r="C691" s="2"/>
      <c r="D691" s="2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3.5" hidden="false" customHeight="true" outlineLevel="0" collapsed="false">
      <c r="A692" s="2"/>
      <c r="B692" s="2"/>
      <c r="C692" s="2"/>
      <c r="D692" s="2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3.5" hidden="false" customHeight="true" outlineLevel="0" collapsed="false">
      <c r="A693" s="2"/>
      <c r="B693" s="2"/>
      <c r="C693" s="2"/>
      <c r="D693" s="2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3.5" hidden="false" customHeight="true" outlineLevel="0" collapsed="false">
      <c r="A694" s="2"/>
      <c r="B694" s="2"/>
      <c r="C694" s="2"/>
      <c r="D694" s="2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3.5" hidden="false" customHeight="true" outlineLevel="0" collapsed="false">
      <c r="A695" s="2"/>
      <c r="B695" s="2"/>
      <c r="C695" s="2"/>
      <c r="D695" s="2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3.5" hidden="false" customHeight="true" outlineLevel="0" collapsed="false">
      <c r="A696" s="2"/>
      <c r="B696" s="2"/>
      <c r="C696" s="2"/>
      <c r="D696" s="2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3.5" hidden="false" customHeight="true" outlineLevel="0" collapsed="false">
      <c r="A697" s="2"/>
      <c r="B697" s="2"/>
      <c r="C697" s="2"/>
      <c r="D697" s="2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3.5" hidden="false" customHeight="true" outlineLevel="0" collapsed="false">
      <c r="A698" s="2"/>
      <c r="B698" s="2"/>
      <c r="C698" s="2"/>
      <c r="D698" s="2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3.5" hidden="false" customHeight="true" outlineLevel="0" collapsed="false">
      <c r="A699" s="2"/>
      <c r="B699" s="2"/>
      <c r="C699" s="2"/>
      <c r="D699" s="2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3.5" hidden="false" customHeight="true" outlineLevel="0" collapsed="false">
      <c r="A700" s="2"/>
      <c r="B700" s="2"/>
      <c r="C700" s="2"/>
      <c r="D700" s="2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3.5" hidden="false" customHeight="true" outlineLevel="0" collapsed="false">
      <c r="A701" s="2"/>
      <c r="B701" s="2"/>
      <c r="C701" s="2"/>
      <c r="D701" s="2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3.5" hidden="false" customHeight="true" outlineLevel="0" collapsed="false">
      <c r="A702" s="2"/>
      <c r="B702" s="2"/>
      <c r="C702" s="2"/>
      <c r="D702" s="2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3.5" hidden="false" customHeight="true" outlineLevel="0" collapsed="false">
      <c r="A703" s="2"/>
      <c r="B703" s="2"/>
      <c r="C703" s="2"/>
      <c r="D703" s="2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3.5" hidden="false" customHeight="true" outlineLevel="0" collapsed="false">
      <c r="A704" s="2"/>
      <c r="B704" s="2"/>
      <c r="C704" s="2"/>
      <c r="D704" s="2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3.5" hidden="false" customHeight="true" outlineLevel="0" collapsed="false">
      <c r="A705" s="2"/>
      <c r="B705" s="2"/>
      <c r="C705" s="2"/>
      <c r="D705" s="2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3.5" hidden="false" customHeight="true" outlineLevel="0" collapsed="false">
      <c r="A706" s="2"/>
      <c r="B706" s="2"/>
      <c r="C706" s="2"/>
      <c r="D706" s="2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3.5" hidden="false" customHeight="true" outlineLevel="0" collapsed="false">
      <c r="A707" s="2"/>
      <c r="B707" s="2"/>
      <c r="C707" s="2"/>
      <c r="D707" s="2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3.5" hidden="false" customHeight="true" outlineLevel="0" collapsed="false">
      <c r="A708" s="2"/>
      <c r="B708" s="2"/>
      <c r="C708" s="2"/>
      <c r="D708" s="2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3.5" hidden="false" customHeight="true" outlineLevel="0" collapsed="false">
      <c r="A709" s="2"/>
      <c r="B709" s="2"/>
      <c r="C709" s="2"/>
      <c r="D709" s="2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3.5" hidden="false" customHeight="true" outlineLevel="0" collapsed="false">
      <c r="A710" s="2"/>
      <c r="B710" s="2"/>
      <c r="C710" s="2"/>
      <c r="D710" s="2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3.5" hidden="false" customHeight="true" outlineLevel="0" collapsed="false">
      <c r="A711" s="2"/>
      <c r="B711" s="2"/>
      <c r="C711" s="2"/>
      <c r="D711" s="2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3.5" hidden="false" customHeight="true" outlineLevel="0" collapsed="false">
      <c r="A712" s="2"/>
      <c r="B712" s="2"/>
      <c r="C712" s="2"/>
      <c r="D712" s="2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3.5" hidden="false" customHeight="true" outlineLevel="0" collapsed="false">
      <c r="A713" s="2"/>
      <c r="B713" s="2"/>
      <c r="C713" s="2"/>
      <c r="D713" s="2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3.5" hidden="false" customHeight="true" outlineLevel="0" collapsed="false">
      <c r="A714" s="2"/>
      <c r="B714" s="2"/>
      <c r="C714" s="2"/>
      <c r="D714" s="2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3.5" hidden="false" customHeight="true" outlineLevel="0" collapsed="false">
      <c r="A715" s="2"/>
      <c r="B715" s="2"/>
      <c r="C715" s="2"/>
      <c r="D715" s="2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3.5" hidden="false" customHeight="true" outlineLevel="0" collapsed="false">
      <c r="A716" s="2"/>
      <c r="B716" s="2"/>
      <c r="C716" s="2"/>
      <c r="D716" s="2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3.5" hidden="false" customHeight="true" outlineLevel="0" collapsed="false">
      <c r="A717" s="2"/>
      <c r="B717" s="2"/>
      <c r="C717" s="2"/>
      <c r="D717" s="2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3.5" hidden="false" customHeight="true" outlineLevel="0" collapsed="false">
      <c r="A718" s="2"/>
      <c r="B718" s="2"/>
      <c r="C718" s="2"/>
      <c r="D718" s="2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3.5" hidden="false" customHeight="true" outlineLevel="0" collapsed="false">
      <c r="A719" s="2"/>
      <c r="B719" s="2"/>
      <c r="C719" s="2"/>
      <c r="D719" s="2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3.5" hidden="false" customHeight="true" outlineLevel="0" collapsed="false">
      <c r="A720" s="2"/>
      <c r="B720" s="2"/>
      <c r="C720" s="2"/>
      <c r="D720" s="2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3.5" hidden="false" customHeight="true" outlineLevel="0" collapsed="false">
      <c r="A721" s="2"/>
      <c r="B721" s="2"/>
      <c r="C721" s="2"/>
      <c r="D721" s="2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3.5" hidden="false" customHeight="true" outlineLevel="0" collapsed="false">
      <c r="A722" s="2"/>
      <c r="B722" s="2"/>
      <c r="C722" s="2"/>
      <c r="D722" s="2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3.5" hidden="false" customHeight="true" outlineLevel="0" collapsed="false">
      <c r="A723" s="2"/>
      <c r="B723" s="2"/>
      <c r="C723" s="2"/>
      <c r="D723" s="2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3.5" hidden="false" customHeight="true" outlineLevel="0" collapsed="false">
      <c r="A724" s="2"/>
      <c r="B724" s="2"/>
      <c r="C724" s="2"/>
      <c r="D724" s="2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3.5" hidden="false" customHeight="true" outlineLevel="0" collapsed="false">
      <c r="A725" s="2"/>
      <c r="B725" s="2"/>
      <c r="C725" s="2"/>
      <c r="D725" s="2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3.5" hidden="false" customHeight="true" outlineLevel="0" collapsed="false">
      <c r="A726" s="2"/>
      <c r="B726" s="2"/>
      <c r="C726" s="2"/>
      <c r="D726" s="2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3.5" hidden="false" customHeight="true" outlineLevel="0" collapsed="false">
      <c r="A727" s="2"/>
      <c r="B727" s="2"/>
      <c r="C727" s="2"/>
      <c r="D727" s="2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3.5" hidden="false" customHeight="true" outlineLevel="0" collapsed="false">
      <c r="A728" s="2"/>
      <c r="B728" s="2"/>
      <c r="C728" s="2"/>
      <c r="D728" s="2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3.5" hidden="false" customHeight="true" outlineLevel="0" collapsed="false">
      <c r="A729" s="2"/>
      <c r="B729" s="2"/>
      <c r="C729" s="2"/>
      <c r="D729" s="2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3.5" hidden="false" customHeight="true" outlineLevel="0" collapsed="false">
      <c r="A730" s="2"/>
      <c r="B730" s="2"/>
      <c r="C730" s="2"/>
      <c r="D730" s="2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3.5" hidden="false" customHeight="true" outlineLevel="0" collapsed="false">
      <c r="A731" s="2"/>
      <c r="B731" s="2"/>
      <c r="C731" s="2"/>
      <c r="D731" s="2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3.5" hidden="false" customHeight="true" outlineLevel="0" collapsed="false">
      <c r="A732" s="2"/>
      <c r="B732" s="2"/>
      <c r="C732" s="2"/>
      <c r="D732" s="2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3.5" hidden="false" customHeight="true" outlineLevel="0" collapsed="false">
      <c r="A733" s="2"/>
      <c r="B733" s="2"/>
      <c r="C733" s="2"/>
      <c r="D733" s="2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3.5" hidden="false" customHeight="true" outlineLevel="0" collapsed="false">
      <c r="A734" s="2"/>
      <c r="B734" s="2"/>
      <c r="C734" s="2"/>
      <c r="D734" s="2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3.5" hidden="false" customHeight="true" outlineLevel="0" collapsed="false">
      <c r="A735" s="2"/>
      <c r="B735" s="2"/>
      <c r="C735" s="2"/>
      <c r="D735" s="2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3.5" hidden="false" customHeight="true" outlineLevel="0" collapsed="false">
      <c r="A736" s="2"/>
      <c r="B736" s="2"/>
      <c r="C736" s="2"/>
      <c r="D736" s="2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3.5" hidden="false" customHeight="true" outlineLevel="0" collapsed="false">
      <c r="A737" s="2"/>
      <c r="B737" s="2"/>
      <c r="C737" s="2"/>
      <c r="D737" s="2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3.5" hidden="false" customHeight="true" outlineLevel="0" collapsed="false">
      <c r="A738" s="2"/>
      <c r="B738" s="2"/>
      <c r="C738" s="2"/>
      <c r="D738" s="2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3.5" hidden="false" customHeight="true" outlineLevel="0" collapsed="false">
      <c r="A739" s="2"/>
      <c r="B739" s="2"/>
      <c r="C739" s="2"/>
      <c r="D739" s="2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3.5" hidden="false" customHeight="true" outlineLevel="0" collapsed="false">
      <c r="A740" s="2"/>
      <c r="B740" s="2"/>
      <c r="C740" s="2"/>
      <c r="D740" s="2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3.5" hidden="false" customHeight="true" outlineLevel="0" collapsed="false">
      <c r="A741" s="2"/>
      <c r="B741" s="2"/>
      <c r="C741" s="2"/>
      <c r="D741" s="2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3.5" hidden="false" customHeight="true" outlineLevel="0" collapsed="false">
      <c r="A742" s="2"/>
      <c r="B742" s="2"/>
      <c r="C742" s="2"/>
      <c r="D742" s="2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3.5" hidden="false" customHeight="true" outlineLevel="0" collapsed="false">
      <c r="A743" s="2"/>
      <c r="B743" s="2"/>
      <c r="C743" s="2"/>
      <c r="D743" s="2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3.5" hidden="false" customHeight="true" outlineLevel="0" collapsed="false">
      <c r="A744" s="2"/>
      <c r="B744" s="2"/>
      <c r="C744" s="2"/>
      <c r="D744" s="2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3.5" hidden="false" customHeight="true" outlineLevel="0" collapsed="false">
      <c r="A745" s="2"/>
      <c r="B745" s="2"/>
      <c r="C745" s="2"/>
      <c r="D745" s="2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3.5" hidden="false" customHeight="true" outlineLevel="0" collapsed="false">
      <c r="A746" s="2"/>
      <c r="B746" s="2"/>
      <c r="C746" s="2"/>
      <c r="D746" s="2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3.5" hidden="false" customHeight="true" outlineLevel="0" collapsed="false">
      <c r="A747" s="2"/>
      <c r="B747" s="2"/>
      <c r="C747" s="2"/>
      <c r="D747" s="2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3.5" hidden="false" customHeight="true" outlineLevel="0" collapsed="false">
      <c r="A748" s="2"/>
      <c r="B748" s="2"/>
      <c r="C748" s="2"/>
      <c r="D748" s="2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3.5" hidden="false" customHeight="true" outlineLevel="0" collapsed="false">
      <c r="A749" s="2"/>
      <c r="B749" s="2"/>
      <c r="C749" s="2"/>
      <c r="D749" s="2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3.5" hidden="false" customHeight="true" outlineLevel="0" collapsed="false">
      <c r="A750" s="2"/>
      <c r="B750" s="2"/>
      <c r="C750" s="2"/>
      <c r="D750" s="2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3.5" hidden="false" customHeight="true" outlineLevel="0" collapsed="false">
      <c r="A751" s="2"/>
      <c r="B751" s="2"/>
      <c r="C751" s="2"/>
      <c r="D751" s="2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3.5" hidden="false" customHeight="true" outlineLevel="0" collapsed="false">
      <c r="A752" s="2"/>
      <c r="B752" s="2"/>
      <c r="C752" s="2"/>
      <c r="D752" s="2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3.5" hidden="false" customHeight="true" outlineLevel="0" collapsed="false">
      <c r="A753" s="2"/>
      <c r="B753" s="2"/>
      <c r="C753" s="2"/>
      <c r="D753" s="2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3.5" hidden="false" customHeight="true" outlineLevel="0" collapsed="false">
      <c r="A754" s="2"/>
      <c r="B754" s="2"/>
      <c r="C754" s="2"/>
      <c r="D754" s="2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3.5" hidden="false" customHeight="true" outlineLevel="0" collapsed="false">
      <c r="A755" s="2"/>
      <c r="B755" s="2"/>
      <c r="C755" s="2"/>
      <c r="D755" s="2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3.5" hidden="false" customHeight="true" outlineLevel="0" collapsed="false">
      <c r="A756" s="2"/>
      <c r="B756" s="2"/>
      <c r="C756" s="2"/>
      <c r="D756" s="2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3.5" hidden="false" customHeight="true" outlineLevel="0" collapsed="false">
      <c r="A757" s="2"/>
      <c r="B757" s="2"/>
      <c r="C757" s="2"/>
      <c r="D757" s="2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3.5" hidden="false" customHeight="true" outlineLevel="0" collapsed="false">
      <c r="A758" s="2"/>
      <c r="B758" s="2"/>
      <c r="C758" s="2"/>
      <c r="D758" s="2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3.5" hidden="false" customHeight="true" outlineLevel="0" collapsed="false">
      <c r="A759" s="2"/>
      <c r="B759" s="2"/>
      <c r="C759" s="2"/>
      <c r="D759" s="2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3.5" hidden="false" customHeight="true" outlineLevel="0" collapsed="false">
      <c r="A760" s="2"/>
      <c r="B760" s="2"/>
      <c r="C760" s="2"/>
      <c r="D760" s="2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3.5" hidden="false" customHeight="true" outlineLevel="0" collapsed="false">
      <c r="A761" s="2"/>
      <c r="B761" s="2"/>
      <c r="C761" s="2"/>
      <c r="D761" s="2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3.5" hidden="false" customHeight="true" outlineLevel="0" collapsed="false">
      <c r="A762" s="2"/>
      <c r="B762" s="2"/>
      <c r="C762" s="2"/>
      <c r="D762" s="2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3.5" hidden="false" customHeight="true" outlineLevel="0" collapsed="false">
      <c r="A763" s="2"/>
      <c r="B763" s="2"/>
      <c r="C763" s="2"/>
      <c r="D763" s="2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3.5" hidden="false" customHeight="true" outlineLevel="0" collapsed="false">
      <c r="A764" s="2"/>
      <c r="B764" s="2"/>
      <c r="C764" s="2"/>
      <c r="D764" s="2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3.5" hidden="false" customHeight="true" outlineLevel="0" collapsed="false">
      <c r="A765" s="2"/>
      <c r="B765" s="2"/>
      <c r="C765" s="2"/>
      <c r="D765" s="2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3.5" hidden="false" customHeight="true" outlineLevel="0" collapsed="false">
      <c r="A766" s="2"/>
      <c r="B766" s="2"/>
      <c r="C766" s="2"/>
      <c r="D766" s="2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3.5" hidden="false" customHeight="true" outlineLevel="0" collapsed="false">
      <c r="A767" s="2"/>
      <c r="B767" s="2"/>
      <c r="C767" s="2"/>
      <c r="D767" s="2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3.5" hidden="false" customHeight="true" outlineLevel="0" collapsed="false">
      <c r="A768" s="2"/>
      <c r="B768" s="2"/>
      <c r="C768" s="2"/>
      <c r="D768" s="2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3.5" hidden="false" customHeight="true" outlineLevel="0" collapsed="false">
      <c r="A769" s="2"/>
      <c r="B769" s="2"/>
      <c r="C769" s="2"/>
      <c r="D769" s="2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3.5" hidden="false" customHeight="true" outlineLevel="0" collapsed="false">
      <c r="A770" s="2"/>
      <c r="B770" s="2"/>
      <c r="C770" s="2"/>
      <c r="D770" s="2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3.5" hidden="false" customHeight="true" outlineLevel="0" collapsed="false">
      <c r="A771" s="2"/>
      <c r="B771" s="2"/>
      <c r="C771" s="2"/>
      <c r="D771" s="2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3.5" hidden="false" customHeight="true" outlineLevel="0" collapsed="false">
      <c r="A772" s="2"/>
      <c r="B772" s="2"/>
      <c r="C772" s="2"/>
      <c r="D772" s="2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3.5" hidden="false" customHeight="true" outlineLevel="0" collapsed="false">
      <c r="A773" s="2"/>
      <c r="B773" s="2"/>
      <c r="C773" s="2"/>
      <c r="D773" s="2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3.5" hidden="false" customHeight="true" outlineLevel="0" collapsed="false">
      <c r="A774" s="2"/>
      <c r="B774" s="2"/>
      <c r="C774" s="2"/>
      <c r="D774" s="2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3.5" hidden="false" customHeight="true" outlineLevel="0" collapsed="false">
      <c r="A775" s="2"/>
      <c r="B775" s="2"/>
      <c r="C775" s="2"/>
      <c r="D775" s="2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3.5" hidden="false" customHeight="true" outlineLevel="0" collapsed="false">
      <c r="A776" s="2"/>
      <c r="B776" s="2"/>
      <c r="C776" s="2"/>
      <c r="D776" s="2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3.5" hidden="false" customHeight="true" outlineLevel="0" collapsed="false">
      <c r="A777" s="2"/>
      <c r="B777" s="2"/>
      <c r="C777" s="2"/>
      <c r="D777" s="2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3.5" hidden="false" customHeight="true" outlineLevel="0" collapsed="false">
      <c r="A778" s="2"/>
      <c r="B778" s="2"/>
      <c r="C778" s="2"/>
      <c r="D778" s="2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3.5" hidden="false" customHeight="true" outlineLevel="0" collapsed="false">
      <c r="A779" s="2"/>
      <c r="B779" s="2"/>
      <c r="C779" s="2"/>
      <c r="D779" s="2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3.5" hidden="false" customHeight="true" outlineLevel="0" collapsed="false">
      <c r="A780" s="2"/>
      <c r="B780" s="2"/>
      <c r="C780" s="2"/>
      <c r="D780" s="2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3.5" hidden="false" customHeight="true" outlineLevel="0" collapsed="false">
      <c r="A781" s="2"/>
      <c r="B781" s="2"/>
      <c r="C781" s="2"/>
      <c r="D781" s="2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3.5" hidden="false" customHeight="true" outlineLevel="0" collapsed="false">
      <c r="A782" s="2"/>
      <c r="B782" s="2"/>
      <c r="C782" s="2"/>
      <c r="D782" s="2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3.5" hidden="false" customHeight="true" outlineLevel="0" collapsed="false">
      <c r="A783" s="2"/>
      <c r="B783" s="2"/>
      <c r="C783" s="2"/>
      <c r="D783" s="2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3.5" hidden="false" customHeight="true" outlineLevel="0" collapsed="false">
      <c r="A784" s="2"/>
      <c r="B784" s="2"/>
      <c r="C784" s="2"/>
      <c r="D784" s="2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3.5" hidden="false" customHeight="true" outlineLevel="0" collapsed="false">
      <c r="A785" s="2"/>
      <c r="B785" s="2"/>
      <c r="C785" s="2"/>
      <c r="D785" s="2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3.5" hidden="false" customHeight="true" outlineLevel="0" collapsed="false">
      <c r="A786" s="2"/>
      <c r="B786" s="2"/>
      <c r="C786" s="2"/>
      <c r="D786" s="2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3.5" hidden="false" customHeight="true" outlineLevel="0" collapsed="false">
      <c r="A787" s="2"/>
      <c r="B787" s="2"/>
      <c r="C787" s="2"/>
      <c r="D787" s="2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3.5" hidden="false" customHeight="true" outlineLevel="0" collapsed="false">
      <c r="A788" s="2"/>
      <c r="B788" s="2"/>
      <c r="C788" s="2"/>
      <c r="D788" s="2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3.5" hidden="false" customHeight="true" outlineLevel="0" collapsed="false">
      <c r="A789" s="2"/>
      <c r="B789" s="2"/>
      <c r="C789" s="2"/>
      <c r="D789" s="2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3.5" hidden="false" customHeight="true" outlineLevel="0" collapsed="false">
      <c r="A790" s="2"/>
      <c r="B790" s="2"/>
      <c r="C790" s="2"/>
      <c r="D790" s="2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3.5" hidden="false" customHeight="true" outlineLevel="0" collapsed="false">
      <c r="A791" s="2"/>
      <c r="B791" s="2"/>
      <c r="C791" s="2"/>
      <c r="D791" s="2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3.5" hidden="false" customHeight="true" outlineLevel="0" collapsed="false">
      <c r="A792" s="2"/>
      <c r="B792" s="2"/>
      <c r="C792" s="2"/>
      <c r="D792" s="2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3.5" hidden="false" customHeight="true" outlineLevel="0" collapsed="false">
      <c r="A793" s="2"/>
      <c r="B793" s="2"/>
      <c r="C793" s="2"/>
      <c r="D793" s="2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3.5" hidden="false" customHeight="true" outlineLevel="0" collapsed="false">
      <c r="A794" s="2"/>
      <c r="B794" s="2"/>
      <c r="C794" s="2"/>
      <c r="D794" s="2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3.5" hidden="false" customHeight="true" outlineLevel="0" collapsed="false">
      <c r="A795" s="2"/>
      <c r="B795" s="2"/>
      <c r="C795" s="2"/>
      <c r="D795" s="2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3.5" hidden="false" customHeight="true" outlineLevel="0" collapsed="false">
      <c r="A796" s="2"/>
      <c r="B796" s="2"/>
      <c r="C796" s="2"/>
      <c r="D796" s="2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3.5" hidden="false" customHeight="true" outlineLevel="0" collapsed="false">
      <c r="A797" s="2"/>
      <c r="B797" s="2"/>
      <c r="C797" s="2"/>
      <c r="D797" s="2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3.5" hidden="false" customHeight="true" outlineLevel="0" collapsed="false">
      <c r="A798" s="2"/>
      <c r="B798" s="2"/>
      <c r="C798" s="2"/>
      <c r="D798" s="2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3.5" hidden="false" customHeight="true" outlineLevel="0" collapsed="false">
      <c r="A799" s="2"/>
      <c r="B799" s="2"/>
      <c r="C799" s="2"/>
      <c r="D799" s="2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3.5" hidden="false" customHeight="true" outlineLevel="0" collapsed="false">
      <c r="A800" s="2"/>
      <c r="B800" s="2"/>
      <c r="C800" s="2"/>
      <c r="D800" s="2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3.5" hidden="false" customHeight="true" outlineLevel="0" collapsed="false">
      <c r="A801" s="2"/>
      <c r="B801" s="2"/>
      <c r="C801" s="2"/>
      <c r="D801" s="2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3.5" hidden="false" customHeight="true" outlineLevel="0" collapsed="false">
      <c r="A802" s="2"/>
      <c r="B802" s="2"/>
      <c r="C802" s="2"/>
      <c r="D802" s="2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3.5" hidden="false" customHeight="true" outlineLevel="0" collapsed="false">
      <c r="A803" s="2"/>
      <c r="B803" s="2"/>
      <c r="C803" s="2"/>
      <c r="D803" s="2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3.5" hidden="false" customHeight="true" outlineLevel="0" collapsed="false">
      <c r="A804" s="2"/>
      <c r="B804" s="2"/>
      <c r="C804" s="2"/>
      <c r="D804" s="2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3.5" hidden="false" customHeight="true" outlineLevel="0" collapsed="false">
      <c r="A805" s="2"/>
      <c r="B805" s="2"/>
      <c r="C805" s="2"/>
      <c r="D805" s="2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3.5" hidden="false" customHeight="true" outlineLevel="0" collapsed="false">
      <c r="A806" s="2"/>
      <c r="B806" s="2"/>
      <c r="C806" s="2"/>
      <c r="D806" s="2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3.5" hidden="false" customHeight="true" outlineLevel="0" collapsed="false">
      <c r="A807" s="2"/>
      <c r="B807" s="2"/>
      <c r="C807" s="2"/>
      <c r="D807" s="2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3.5" hidden="false" customHeight="true" outlineLevel="0" collapsed="false">
      <c r="A808" s="2"/>
      <c r="B808" s="2"/>
      <c r="C808" s="2"/>
      <c r="D808" s="2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3.5" hidden="false" customHeight="true" outlineLevel="0" collapsed="false">
      <c r="A809" s="2"/>
      <c r="B809" s="2"/>
      <c r="C809" s="2"/>
      <c r="D809" s="2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3.5" hidden="false" customHeight="true" outlineLevel="0" collapsed="false">
      <c r="A810" s="2"/>
      <c r="B810" s="2"/>
      <c r="C810" s="2"/>
      <c r="D810" s="2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3.5" hidden="false" customHeight="true" outlineLevel="0" collapsed="false">
      <c r="A811" s="2"/>
      <c r="B811" s="2"/>
      <c r="C811" s="2"/>
      <c r="D811" s="2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3.5" hidden="false" customHeight="true" outlineLevel="0" collapsed="false">
      <c r="A812" s="2"/>
      <c r="B812" s="2"/>
      <c r="C812" s="2"/>
      <c r="D812" s="2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3.5" hidden="false" customHeight="true" outlineLevel="0" collapsed="false">
      <c r="A813" s="2"/>
      <c r="B813" s="2"/>
      <c r="C813" s="2"/>
      <c r="D813" s="2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3.5" hidden="false" customHeight="true" outlineLevel="0" collapsed="false">
      <c r="A814" s="2"/>
      <c r="B814" s="2"/>
      <c r="C814" s="2"/>
      <c r="D814" s="2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3.5" hidden="false" customHeight="true" outlineLevel="0" collapsed="false">
      <c r="A815" s="2"/>
      <c r="B815" s="2"/>
      <c r="C815" s="2"/>
      <c r="D815" s="2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3.5" hidden="false" customHeight="true" outlineLevel="0" collapsed="false">
      <c r="A816" s="2"/>
      <c r="B816" s="2"/>
      <c r="C816" s="2"/>
      <c r="D816" s="2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3.5" hidden="false" customHeight="true" outlineLevel="0" collapsed="false">
      <c r="A817" s="2"/>
      <c r="B817" s="2"/>
      <c r="C817" s="2"/>
      <c r="D817" s="2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3.5" hidden="false" customHeight="true" outlineLevel="0" collapsed="false">
      <c r="A818" s="2"/>
      <c r="B818" s="2"/>
      <c r="C818" s="2"/>
      <c r="D818" s="2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3.5" hidden="false" customHeight="true" outlineLevel="0" collapsed="false">
      <c r="A819" s="2"/>
      <c r="B819" s="2"/>
      <c r="C819" s="2"/>
      <c r="D819" s="2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3.5" hidden="false" customHeight="true" outlineLevel="0" collapsed="false">
      <c r="A820" s="2"/>
      <c r="B820" s="2"/>
      <c r="C820" s="2"/>
      <c r="D820" s="2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3.5" hidden="false" customHeight="true" outlineLevel="0" collapsed="false">
      <c r="A821" s="2"/>
      <c r="B821" s="2"/>
      <c r="C821" s="2"/>
      <c r="D821" s="2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3.5" hidden="false" customHeight="true" outlineLevel="0" collapsed="false">
      <c r="A822" s="2"/>
      <c r="B822" s="2"/>
      <c r="C822" s="2"/>
      <c r="D822" s="2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3.5" hidden="false" customHeight="true" outlineLevel="0" collapsed="false">
      <c r="A823" s="2"/>
      <c r="B823" s="2"/>
      <c r="C823" s="2"/>
      <c r="D823" s="2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3.5" hidden="false" customHeight="true" outlineLevel="0" collapsed="false">
      <c r="A824" s="2"/>
      <c r="B824" s="2"/>
      <c r="C824" s="2"/>
      <c r="D824" s="2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3.5" hidden="false" customHeight="true" outlineLevel="0" collapsed="false">
      <c r="A825" s="2"/>
      <c r="B825" s="2"/>
      <c r="C825" s="2"/>
      <c r="D825" s="2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3.5" hidden="false" customHeight="true" outlineLevel="0" collapsed="false">
      <c r="A826" s="2"/>
      <c r="B826" s="2"/>
      <c r="C826" s="2"/>
      <c r="D826" s="2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3.5" hidden="false" customHeight="true" outlineLevel="0" collapsed="false">
      <c r="A827" s="2"/>
      <c r="B827" s="2"/>
      <c r="C827" s="2"/>
      <c r="D827" s="2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3.5" hidden="false" customHeight="true" outlineLevel="0" collapsed="false">
      <c r="A828" s="2"/>
      <c r="B828" s="2"/>
      <c r="C828" s="2"/>
      <c r="D828" s="2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3.5" hidden="false" customHeight="true" outlineLevel="0" collapsed="false">
      <c r="A829" s="2"/>
      <c r="B829" s="2"/>
      <c r="C829" s="2"/>
      <c r="D829" s="2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3.5" hidden="false" customHeight="true" outlineLevel="0" collapsed="false">
      <c r="A830" s="2"/>
      <c r="B830" s="2"/>
      <c r="C830" s="2"/>
      <c r="D830" s="2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3.5" hidden="false" customHeight="true" outlineLevel="0" collapsed="false">
      <c r="A831" s="2"/>
      <c r="B831" s="2"/>
      <c r="C831" s="2"/>
      <c r="D831" s="2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3.5" hidden="false" customHeight="true" outlineLevel="0" collapsed="false">
      <c r="A832" s="2"/>
      <c r="B832" s="2"/>
      <c r="C832" s="2"/>
      <c r="D832" s="2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3.5" hidden="false" customHeight="true" outlineLevel="0" collapsed="false">
      <c r="A833" s="2"/>
      <c r="B833" s="2"/>
      <c r="C833" s="2"/>
      <c r="D833" s="2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3.5" hidden="false" customHeight="true" outlineLevel="0" collapsed="false">
      <c r="A834" s="2"/>
      <c r="B834" s="2"/>
      <c r="C834" s="2"/>
      <c r="D834" s="2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3.5" hidden="false" customHeight="true" outlineLevel="0" collapsed="false">
      <c r="A835" s="2"/>
      <c r="B835" s="2"/>
      <c r="C835" s="2"/>
      <c r="D835" s="2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3.5" hidden="false" customHeight="true" outlineLevel="0" collapsed="false">
      <c r="A836" s="2"/>
      <c r="B836" s="2"/>
      <c r="C836" s="2"/>
      <c r="D836" s="2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3.5" hidden="false" customHeight="true" outlineLevel="0" collapsed="false">
      <c r="A837" s="2"/>
      <c r="B837" s="2"/>
      <c r="C837" s="2"/>
      <c r="D837" s="2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3.5" hidden="false" customHeight="true" outlineLevel="0" collapsed="false">
      <c r="A838" s="2"/>
      <c r="B838" s="2"/>
      <c r="C838" s="2"/>
      <c r="D838" s="2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3.5" hidden="false" customHeight="true" outlineLevel="0" collapsed="false">
      <c r="A839" s="2"/>
      <c r="B839" s="2"/>
      <c r="C839" s="2"/>
      <c r="D839" s="2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3.5" hidden="false" customHeight="true" outlineLevel="0" collapsed="false">
      <c r="A840" s="2"/>
      <c r="B840" s="2"/>
      <c r="C840" s="2"/>
      <c r="D840" s="2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3.5" hidden="false" customHeight="true" outlineLevel="0" collapsed="false">
      <c r="A841" s="2"/>
      <c r="B841" s="2"/>
      <c r="C841" s="2"/>
      <c r="D841" s="2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3.5" hidden="false" customHeight="true" outlineLevel="0" collapsed="false">
      <c r="A842" s="2"/>
      <c r="B842" s="2"/>
      <c r="C842" s="2"/>
      <c r="D842" s="2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3.5" hidden="false" customHeight="true" outlineLevel="0" collapsed="false">
      <c r="A843" s="2"/>
      <c r="B843" s="2"/>
      <c r="C843" s="2"/>
      <c r="D843" s="2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3.5" hidden="false" customHeight="true" outlineLevel="0" collapsed="false">
      <c r="A844" s="2"/>
      <c r="B844" s="2"/>
      <c r="C844" s="2"/>
      <c r="D844" s="2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3.5" hidden="false" customHeight="true" outlineLevel="0" collapsed="false">
      <c r="A845" s="2"/>
      <c r="B845" s="2"/>
      <c r="C845" s="2"/>
      <c r="D845" s="2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3.5" hidden="false" customHeight="true" outlineLevel="0" collapsed="false">
      <c r="A846" s="2"/>
      <c r="B846" s="2"/>
      <c r="C846" s="2"/>
      <c r="D846" s="2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3.5" hidden="false" customHeight="true" outlineLevel="0" collapsed="false">
      <c r="A847" s="2"/>
      <c r="B847" s="2"/>
      <c r="C847" s="2"/>
      <c r="D847" s="2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3.5" hidden="false" customHeight="true" outlineLevel="0" collapsed="false">
      <c r="A848" s="2"/>
      <c r="B848" s="2"/>
      <c r="C848" s="2"/>
      <c r="D848" s="2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3.5" hidden="false" customHeight="true" outlineLevel="0" collapsed="false">
      <c r="A849" s="2"/>
      <c r="B849" s="2"/>
      <c r="C849" s="2"/>
      <c r="D849" s="2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3.5" hidden="false" customHeight="true" outlineLevel="0" collapsed="false">
      <c r="A850" s="2"/>
      <c r="B850" s="2"/>
      <c r="C850" s="2"/>
      <c r="D850" s="2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3.5" hidden="false" customHeight="true" outlineLevel="0" collapsed="false">
      <c r="A851" s="2"/>
      <c r="B851" s="2"/>
      <c r="C851" s="2"/>
      <c r="D851" s="2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3.5" hidden="false" customHeight="true" outlineLevel="0" collapsed="false">
      <c r="A852" s="2"/>
      <c r="B852" s="2"/>
      <c r="C852" s="2"/>
      <c r="D852" s="2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3.5" hidden="false" customHeight="true" outlineLevel="0" collapsed="false">
      <c r="A853" s="2"/>
      <c r="B853" s="2"/>
      <c r="C853" s="2"/>
      <c r="D853" s="2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3.5" hidden="false" customHeight="true" outlineLevel="0" collapsed="false">
      <c r="A854" s="2"/>
      <c r="B854" s="2"/>
      <c r="C854" s="2"/>
      <c r="D854" s="2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3.5" hidden="false" customHeight="true" outlineLevel="0" collapsed="false">
      <c r="A855" s="2"/>
      <c r="B855" s="2"/>
      <c r="C855" s="2"/>
      <c r="D855" s="2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3.5" hidden="false" customHeight="true" outlineLevel="0" collapsed="false">
      <c r="A856" s="2"/>
      <c r="B856" s="2"/>
      <c r="C856" s="2"/>
      <c r="D856" s="2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3.5" hidden="false" customHeight="true" outlineLevel="0" collapsed="false">
      <c r="A857" s="2"/>
      <c r="B857" s="2"/>
      <c r="C857" s="2"/>
      <c r="D857" s="2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3.5" hidden="false" customHeight="true" outlineLevel="0" collapsed="false">
      <c r="A858" s="2"/>
      <c r="B858" s="2"/>
      <c r="C858" s="2"/>
      <c r="D858" s="2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3.5" hidden="false" customHeight="true" outlineLevel="0" collapsed="false">
      <c r="A859" s="2"/>
      <c r="B859" s="2"/>
      <c r="C859" s="2"/>
      <c r="D859" s="2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3.5" hidden="false" customHeight="true" outlineLevel="0" collapsed="false">
      <c r="A860" s="2"/>
      <c r="B860" s="2"/>
      <c r="C860" s="2"/>
      <c r="D860" s="2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3.5" hidden="false" customHeight="true" outlineLevel="0" collapsed="false">
      <c r="A861" s="2"/>
      <c r="B861" s="2"/>
      <c r="C861" s="2"/>
      <c r="D861" s="2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3.5" hidden="false" customHeight="true" outlineLevel="0" collapsed="false">
      <c r="A862" s="2"/>
      <c r="B862" s="2"/>
      <c r="C862" s="2"/>
      <c r="D862" s="2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3.5" hidden="false" customHeight="true" outlineLevel="0" collapsed="false">
      <c r="A863" s="2"/>
      <c r="B863" s="2"/>
      <c r="C863" s="2"/>
      <c r="D863" s="2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3.5" hidden="false" customHeight="true" outlineLevel="0" collapsed="false">
      <c r="A864" s="2"/>
      <c r="B864" s="2"/>
      <c r="C864" s="2"/>
      <c r="D864" s="2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3.5" hidden="false" customHeight="true" outlineLevel="0" collapsed="false">
      <c r="A865" s="2"/>
      <c r="B865" s="2"/>
      <c r="C865" s="2"/>
      <c r="D865" s="2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3.5" hidden="false" customHeight="true" outlineLevel="0" collapsed="false">
      <c r="A866" s="2"/>
      <c r="B866" s="2"/>
      <c r="C866" s="2"/>
      <c r="D866" s="2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3.5" hidden="false" customHeight="true" outlineLevel="0" collapsed="false">
      <c r="A867" s="2"/>
      <c r="B867" s="2"/>
      <c r="C867" s="2"/>
      <c r="D867" s="2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3.5" hidden="false" customHeight="true" outlineLevel="0" collapsed="false">
      <c r="A868" s="2"/>
      <c r="B868" s="2"/>
      <c r="C868" s="2"/>
      <c r="D868" s="2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3.5" hidden="false" customHeight="true" outlineLevel="0" collapsed="false">
      <c r="A869" s="2"/>
      <c r="B869" s="2"/>
      <c r="C869" s="2"/>
      <c r="D869" s="2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3.5" hidden="false" customHeight="true" outlineLevel="0" collapsed="false">
      <c r="A870" s="2"/>
      <c r="B870" s="2"/>
      <c r="C870" s="2"/>
      <c r="D870" s="2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3.5" hidden="false" customHeight="true" outlineLevel="0" collapsed="false">
      <c r="A871" s="2"/>
      <c r="B871" s="2"/>
      <c r="C871" s="2"/>
      <c r="D871" s="2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3.5" hidden="false" customHeight="true" outlineLevel="0" collapsed="false">
      <c r="A872" s="2"/>
      <c r="B872" s="2"/>
      <c r="C872" s="2"/>
      <c r="D872" s="2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3.5" hidden="false" customHeight="true" outlineLevel="0" collapsed="false">
      <c r="A873" s="2"/>
      <c r="B873" s="2"/>
      <c r="C873" s="2"/>
      <c r="D873" s="2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3.5" hidden="false" customHeight="true" outlineLevel="0" collapsed="false">
      <c r="A874" s="2"/>
      <c r="B874" s="2"/>
      <c r="C874" s="2"/>
      <c r="D874" s="2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3.5" hidden="false" customHeight="true" outlineLevel="0" collapsed="false">
      <c r="A875" s="2"/>
      <c r="B875" s="2"/>
      <c r="C875" s="2"/>
      <c r="D875" s="2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3.5" hidden="false" customHeight="true" outlineLevel="0" collapsed="false">
      <c r="A876" s="2"/>
      <c r="B876" s="2"/>
      <c r="C876" s="2"/>
      <c r="D876" s="2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3.5" hidden="false" customHeight="true" outlineLevel="0" collapsed="false">
      <c r="A877" s="2"/>
      <c r="B877" s="2"/>
      <c r="C877" s="2"/>
      <c r="D877" s="2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3.5" hidden="false" customHeight="true" outlineLevel="0" collapsed="false">
      <c r="A878" s="2"/>
      <c r="B878" s="2"/>
      <c r="C878" s="2"/>
      <c r="D878" s="2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3.5" hidden="false" customHeight="true" outlineLevel="0" collapsed="false">
      <c r="A879" s="2"/>
      <c r="B879" s="2"/>
      <c r="C879" s="2"/>
      <c r="D879" s="2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3.5" hidden="false" customHeight="true" outlineLevel="0" collapsed="false">
      <c r="A880" s="2"/>
      <c r="B880" s="2"/>
      <c r="C880" s="2"/>
      <c r="D880" s="2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3.5" hidden="false" customHeight="true" outlineLevel="0" collapsed="false">
      <c r="A881" s="2"/>
      <c r="B881" s="2"/>
      <c r="C881" s="2"/>
      <c r="D881" s="2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3.5" hidden="false" customHeight="true" outlineLevel="0" collapsed="false">
      <c r="A882" s="2"/>
      <c r="B882" s="2"/>
      <c r="C882" s="2"/>
      <c r="D882" s="2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3.5" hidden="false" customHeight="true" outlineLevel="0" collapsed="false">
      <c r="A883" s="2"/>
      <c r="B883" s="2"/>
      <c r="C883" s="2"/>
      <c r="D883" s="2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3.5" hidden="false" customHeight="true" outlineLevel="0" collapsed="false">
      <c r="A884" s="2"/>
      <c r="B884" s="2"/>
      <c r="C884" s="2"/>
      <c r="D884" s="2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3.5" hidden="false" customHeight="true" outlineLevel="0" collapsed="false">
      <c r="A885" s="2"/>
      <c r="B885" s="2"/>
      <c r="C885" s="2"/>
      <c r="D885" s="2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3.5" hidden="false" customHeight="true" outlineLevel="0" collapsed="false">
      <c r="A886" s="2"/>
      <c r="B886" s="2"/>
      <c r="C886" s="2"/>
      <c r="D886" s="2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3.5" hidden="false" customHeight="true" outlineLevel="0" collapsed="false">
      <c r="A887" s="2"/>
      <c r="B887" s="2"/>
      <c r="C887" s="2"/>
      <c r="D887" s="2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3.5" hidden="false" customHeight="true" outlineLevel="0" collapsed="false">
      <c r="A888" s="2"/>
      <c r="B888" s="2"/>
      <c r="C888" s="2"/>
      <c r="D888" s="2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3.5" hidden="false" customHeight="true" outlineLevel="0" collapsed="false">
      <c r="A889" s="2"/>
      <c r="B889" s="2"/>
      <c r="C889" s="2"/>
      <c r="D889" s="2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3.5" hidden="false" customHeight="true" outlineLevel="0" collapsed="false">
      <c r="A890" s="2"/>
      <c r="B890" s="2"/>
      <c r="C890" s="2"/>
      <c r="D890" s="2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3.5" hidden="false" customHeight="true" outlineLevel="0" collapsed="false">
      <c r="A891" s="2"/>
      <c r="B891" s="2"/>
      <c r="C891" s="2"/>
      <c r="D891" s="2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3.5" hidden="false" customHeight="true" outlineLevel="0" collapsed="false">
      <c r="A892" s="2"/>
      <c r="B892" s="2"/>
      <c r="C892" s="2"/>
      <c r="D892" s="2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3.5" hidden="false" customHeight="true" outlineLevel="0" collapsed="false">
      <c r="A893" s="2"/>
      <c r="B893" s="2"/>
      <c r="C893" s="2"/>
      <c r="D893" s="2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3.5" hidden="false" customHeight="true" outlineLevel="0" collapsed="false">
      <c r="A894" s="2"/>
      <c r="B894" s="2"/>
      <c r="C894" s="2"/>
      <c r="D894" s="2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3.5" hidden="false" customHeight="true" outlineLevel="0" collapsed="false">
      <c r="A895" s="2"/>
      <c r="B895" s="2"/>
      <c r="C895" s="2"/>
      <c r="D895" s="2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3.5" hidden="false" customHeight="true" outlineLevel="0" collapsed="false">
      <c r="A896" s="2"/>
      <c r="B896" s="2"/>
      <c r="C896" s="2"/>
      <c r="D896" s="2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3.5" hidden="false" customHeight="true" outlineLevel="0" collapsed="false">
      <c r="A897" s="2"/>
      <c r="B897" s="2"/>
      <c r="C897" s="2"/>
      <c r="D897" s="2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3.5" hidden="false" customHeight="true" outlineLevel="0" collapsed="false">
      <c r="A898" s="2"/>
      <c r="B898" s="2"/>
      <c r="C898" s="2"/>
      <c r="D898" s="2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3.5" hidden="false" customHeight="true" outlineLevel="0" collapsed="false">
      <c r="A899" s="2"/>
      <c r="B899" s="2"/>
      <c r="C899" s="2"/>
      <c r="D899" s="2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3.5" hidden="false" customHeight="true" outlineLevel="0" collapsed="false">
      <c r="A900" s="2"/>
      <c r="B900" s="2"/>
      <c r="C900" s="2"/>
      <c r="D900" s="2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3.5" hidden="false" customHeight="true" outlineLevel="0" collapsed="false">
      <c r="A901" s="2"/>
      <c r="B901" s="2"/>
      <c r="C901" s="2"/>
      <c r="D901" s="2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3.5" hidden="false" customHeight="true" outlineLevel="0" collapsed="false">
      <c r="A902" s="2"/>
      <c r="B902" s="2"/>
      <c r="C902" s="2"/>
      <c r="D902" s="2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3.5" hidden="false" customHeight="true" outlineLevel="0" collapsed="false">
      <c r="A903" s="2"/>
      <c r="B903" s="2"/>
      <c r="C903" s="2"/>
      <c r="D903" s="2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3.5" hidden="false" customHeight="true" outlineLevel="0" collapsed="false">
      <c r="A904" s="2"/>
      <c r="B904" s="2"/>
      <c r="C904" s="2"/>
      <c r="D904" s="2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3.5" hidden="false" customHeight="true" outlineLevel="0" collapsed="false">
      <c r="A905" s="2"/>
      <c r="B905" s="2"/>
      <c r="C905" s="2"/>
      <c r="D905" s="2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3.5" hidden="false" customHeight="true" outlineLevel="0" collapsed="false">
      <c r="A906" s="2"/>
      <c r="B906" s="2"/>
      <c r="C906" s="2"/>
      <c r="D906" s="2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3.5" hidden="false" customHeight="true" outlineLevel="0" collapsed="false">
      <c r="A907" s="2"/>
      <c r="B907" s="2"/>
      <c r="C907" s="2"/>
      <c r="D907" s="2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3.5" hidden="false" customHeight="true" outlineLevel="0" collapsed="false">
      <c r="A908" s="2"/>
      <c r="B908" s="2"/>
      <c r="C908" s="2"/>
      <c r="D908" s="2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3.5" hidden="false" customHeight="true" outlineLevel="0" collapsed="false">
      <c r="A909" s="2"/>
      <c r="B909" s="2"/>
      <c r="C909" s="2"/>
      <c r="D909" s="2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3.5" hidden="false" customHeight="true" outlineLevel="0" collapsed="false">
      <c r="A910" s="2"/>
      <c r="B910" s="2"/>
      <c r="C910" s="2"/>
      <c r="D910" s="2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3.5" hidden="false" customHeight="true" outlineLevel="0" collapsed="false">
      <c r="A911" s="2"/>
      <c r="B911" s="2"/>
      <c r="C911" s="2"/>
      <c r="D911" s="2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3.5" hidden="false" customHeight="true" outlineLevel="0" collapsed="false">
      <c r="A912" s="2"/>
      <c r="B912" s="2"/>
      <c r="C912" s="2"/>
      <c r="D912" s="2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3.5" hidden="false" customHeight="true" outlineLevel="0" collapsed="false">
      <c r="A913" s="2"/>
      <c r="B913" s="2"/>
      <c r="C913" s="2"/>
      <c r="D913" s="2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3.5" hidden="false" customHeight="true" outlineLevel="0" collapsed="false">
      <c r="A914" s="2"/>
      <c r="B914" s="2"/>
      <c r="C914" s="2"/>
      <c r="D914" s="2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3.5" hidden="false" customHeight="true" outlineLevel="0" collapsed="false">
      <c r="A915" s="2"/>
      <c r="B915" s="2"/>
      <c r="C915" s="2"/>
      <c r="D915" s="2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3.5" hidden="false" customHeight="true" outlineLevel="0" collapsed="false">
      <c r="A916" s="2"/>
      <c r="B916" s="2"/>
      <c r="C916" s="2"/>
      <c r="D916" s="2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3.5" hidden="false" customHeight="true" outlineLevel="0" collapsed="false">
      <c r="A917" s="2"/>
      <c r="B917" s="2"/>
      <c r="C917" s="2"/>
      <c r="D917" s="2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3.5" hidden="false" customHeight="true" outlineLevel="0" collapsed="false">
      <c r="A918" s="2"/>
      <c r="B918" s="2"/>
      <c r="C918" s="2"/>
      <c r="D918" s="2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3.5" hidden="false" customHeight="true" outlineLevel="0" collapsed="false">
      <c r="A919" s="2"/>
      <c r="B919" s="2"/>
      <c r="C919" s="2"/>
      <c r="D919" s="2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3.5" hidden="false" customHeight="true" outlineLevel="0" collapsed="false">
      <c r="A920" s="2"/>
      <c r="B920" s="2"/>
      <c r="C920" s="2"/>
      <c r="D920" s="2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3.5" hidden="false" customHeight="true" outlineLevel="0" collapsed="false">
      <c r="A921" s="2"/>
      <c r="B921" s="2"/>
      <c r="C921" s="2"/>
      <c r="D921" s="2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3.5" hidden="false" customHeight="true" outlineLevel="0" collapsed="false">
      <c r="A922" s="2"/>
      <c r="B922" s="2"/>
      <c r="C922" s="2"/>
      <c r="D922" s="2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3.5" hidden="false" customHeight="true" outlineLevel="0" collapsed="false">
      <c r="A923" s="2"/>
      <c r="B923" s="2"/>
      <c r="C923" s="2"/>
      <c r="D923" s="2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3.5" hidden="false" customHeight="true" outlineLevel="0" collapsed="false">
      <c r="A924" s="2"/>
      <c r="B924" s="2"/>
      <c r="C924" s="2"/>
      <c r="D924" s="2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3.5" hidden="false" customHeight="true" outlineLevel="0" collapsed="false">
      <c r="A925" s="2"/>
      <c r="B925" s="2"/>
      <c r="C925" s="2"/>
      <c r="D925" s="2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3.5" hidden="false" customHeight="true" outlineLevel="0" collapsed="false">
      <c r="A926" s="2"/>
      <c r="B926" s="2"/>
      <c r="C926" s="2"/>
      <c r="D926" s="2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3.5" hidden="false" customHeight="true" outlineLevel="0" collapsed="false">
      <c r="A927" s="2"/>
      <c r="B927" s="2"/>
      <c r="C927" s="2"/>
      <c r="D927" s="2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3.5" hidden="false" customHeight="true" outlineLevel="0" collapsed="false">
      <c r="A928" s="2"/>
      <c r="B928" s="2"/>
      <c r="C928" s="2"/>
      <c r="D928" s="2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3.5" hidden="false" customHeight="true" outlineLevel="0" collapsed="false">
      <c r="A929" s="2"/>
      <c r="B929" s="2"/>
      <c r="C929" s="2"/>
      <c r="D929" s="2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3.5" hidden="false" customHeight="true" outlineLevel="0" collapsed="false">
      <c r="A930" s="2"/>
      <c r="B930" s="2"/>
      <c r="C930" s="2"/>
      <c r="D930" s="2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3.5" hidden="false" customHeight="true" outlineLevel="0" collapsed="false">
      <c r="A931" s="2"/>
      <c r="B931" s="2"/>
      <c r="C931" s="2"/>
      <c r="D931" s="2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3.5" hidden="false" customHeight="true" outlineLevel="0" collapsed="false">
      <c r="A932" s="2"/>
      <c r="B932" s="2"/>
      <c r="C932" s="2"/>
      <c r="D932" s="2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3.5" hidden="false" customHeight="true" outlineLevel="0" collapsed="false">
      <c r="A933" s="2"/>
      <c r="B933" s="2"/>
      <c r="C933" s="2"/>
      <c r="D933" s="2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3.5" hidden="false" customHeight="true" outlineLevel="0" collapsed="false">
      <c r="A934" s="2"/>
      <c r="B934" s="2"/>
      <c r="C934" s="2"/>
      <c r="D934" s="2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3.5" hidden="false" customHeight="true" outlineLevel="0" collapsed="false">
      <c r="A935" s="2"/>
      <c r="B935" s="2"/>
      <c r="C935" s="2"/>
      <c r="D935" s="2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3.5" hidden="false" customHeight="true" outlineLevel="0" collapsed="false">
      <c r="A936" s="2"/>
      <c r="B936" s="2"/>
      <c r="C936" s="2"/>
      <c r="D936" s="2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3.5" hidden="false" customHeight="true" outlineLevel="0" collapsed="false">
      <c r="A937" s="2"/>
      <c r="B937" s="2"/>
      <c r="C937" s="2"/>
      <c r="D937" s="2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3.5" hidden="false" customHeight="true" outlineLevel="0" collapsed="false">
      <c r="A938" s="2"/>
      <c r="B938" s="2"/>
      <c r="C938" s="2"/>
      <c r="D938" s="2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3.5" hidden="false" customHeight="true" outlineLevel="0" collapsed="false">
      <c r="A939" s="2"/>
      <c r="B939" s="2"/>
      <c r="C939" s="2"/>
      <c r="D939" s="2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3.5" hidden="false" customHeight="true" outlineLevel="0" collapsed="false">
      <c r="A940" s="2"/>
      <c r="B940" s="2"/>
      <c r="C940" s="2"/>
      <c r="D940" s="2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3.5" hidden="false" customHeight="true" outlineLevel="0" collapsed="false">
      <c r="A941" s="2"/>
      <c r="B941" s="2"/>
      <c r="C941" s="2"/>
      <c r="D941" s="2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3.5" hidden="false" customHeight="true" outlineLevel="0" collapsed="false">
      <c r="A942" s="2"/>
      <c r="B942" s="2"/>
      <c r="C942" s="2"/>
      <c r="D942" s="2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3.5" hidden="false" customHeight="true" outlineLevel="0" collapsed="false">
      <c r="A943" s="2"/>
      <c r="B943" s="2"/>
      <c r="C943" s="2"/>
      <c r="D943" s="2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3.5" hidden="false" customHeight="true" outlineLevel="0" collapsed="false">
      <c r="A944" s="2"/>
      <c r="B944" s="2"/>
      <c r="C944" s="2"/>
      <c r="D944" s="2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3.5" hidden="false" customHeight="true" outlineLevel="0" collapsed="false">
      <c r="A945" s="2"/>
      <c r="B945" s="2"/>
      <c r="C945" s="2"/>
      <c r="D945" s="2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3.5" hidden="false" customHeight="true" outlineLevel="0" collapsed="false">
      <c r="A946" s="2"/>
      <c r="B946" s="2"/>
      <c r="C946" s="2"/>
      <c r="D946" s="2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3.5" hidden="false" customHeight="true" outlineLevel="0" collapsed="false">
      <c r="A947" s="2"/>
      <c r="B947" s="2"/>
      <c r="C947" s="2"/>
      <c r="D947" s="2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3.5" hidden="false" customHeight="true" outlineLevel="0" collapsed="false">
      <c r="A948" s="2"/>
      <c r="B948" s="2"/>
      <c r="C948" s="2"/>
      <c r="D948" s="2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3.5" hidden="false" customHeight="true" outlineLevel="0" collapsed="false">
      <c r="A949" s="2"/>
      <c r="B949" s="2"/>
      <c r="C949" s="2"/>
      <c r="D949" s="2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3.5" hidden="false" customHeight="true" outlineLevel="0" collapsed="false">
      <c r="A950" s="2"/>
      <c r="B950" s="2"/>
      <c r="C950" s="2"/>
      <c r="D950" s="2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3.5" hidden="false" customHeight="true" outlineLevel="0" collapsed="false">
      <c r="A951" s="2"/>
      <c r="B951" s="2"/>
      <c r="C951" s="2"/>
      <c r="D951" s="2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3.5" hidden="false" customHeight="true" outlineLevel="0" collapsed="false">
      <c r="A952" s="2"/>
      <c r="B952" s="2"/>
      <c r="C952" s="2"/>
      <c r="D952" s="2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3.5" hidden="false" customHeight="true" outlineLevel="0" collapsed="false">
      <c r="A953" s="2"/>
      <c r="B953" s="2"/>
      <c r="C953" s="2"/>
      <c r="D953" s="2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3.5" hidden="false" customHeight="true" outlineLevel="0" collapsed="false">
      <c r="A954" s="2"/>
      <c r="B954" s="2"/>
      <c r="C954" s="2"/>
      <c r="D954" s="2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3.5" hidden="false" customHeight="true" outlineLevel="0" collapsed="false">
      <c r="A955" s="2"/>
      <c r="B955" s="2"/>
      <c r="C955" s="2"/>
      <c r="D955" s="2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3.5" hidden="false" customHeight="true" outlineLevel="0" collapsed="false">
      <c r="A956" s="2"/>
      <c r="B956" s="2"/>
      <c r="C956" s="2"/>
      <c r="D956" s="2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3.5" hidden="false" customHeight="true" outlineLevel="0" collapsed="false">
      <c r="A957" s="2"/>
      <c r="B957" s="2"/>
      <c r="C957" s="2"/>
      <c r="D957" s="2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3.5" hidden="false" customHeight="true" outlineLevel="0" collapsed="false">
      <c r="A958" s="2"/>
      <c r="B958" s="2"/>
      <c r="C958" s="2"/>
      <c r="D958" s="2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3.5" hidden="false" customHeight="true" outlineLevel="0" collapsed="false">
      <c r="A959" s="2"/>
      <c r="B959" s="2"/>
      <c r="C959" s="2"/>
      <c r="D959" s="2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3.5" hidden="false" customHeight="true" outlineLevel="0" collapsed="false">
      <c r="A960" s="2"/>
      <c r="B960" s="2"/>
      <c r="C960" s="2"/>
      <c r="D960" s="2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3.5" hidden="false" customHeight="true" outlineLevel="0" collapsed="false">
      <c r="A961" s="2"/>
      <c r="B961" s="2"/>
      <c r="C961" s="2"/>
      <c r="D961" s="2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3.5" hidden="false" customHeight="true" outlineLevel="0" collapsed="false">
      <c r="A962" s="2"/>
      <c r="B962" s="2"/>
      <c r="C962" s="2"/>
      <c r="D962" s="2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3.5" hidden="false" customHeight="true" outlineLevel="0" collapsed="false">
      <c r="A963" s="2"/>
      <c r="B963" s="2"/>
      <c r="C963" s="2"/>
      <c r="D963" s="2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3.5" hidden="false" customHeight="true" outlineLevel="0" collapsed="false">
      <c r="A964" s="2"/>
      <c r="B964" s="2"/>
      <c r="C964" s="2"/>
      <c r="D964" s="2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3.5" hidden="false" customHeight="true" outlineLevel="0" collapsed="false">
      <c r="A965" s="2"/>
      <c r="B965" s="2"/>
      <c r="C965" s="2"/>
      <c r="D965" s="2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3.5" hidden="false" customHeight="true" outlineLevel="0" collapsed="false">
      <c r="A966" s="2"/>
      <c r="B966" s="2"/>
      <c r="C966" s="2"/>
      <c r="D966" s="2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3.5" hidden="false" customHeight="true" outlineLevel="0" collapsed="false">
      <c r="A967" s="2"/>
      <c r="B967" s="2"/>
      <c r="C967" s="2"/>
      <c r="D967" s="2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3.5" hidden="false" customHeight="true" outlineLevel="0" collapsed="false">
      <c r="A968" s="2"/>
      <c r="B968" s="2"/>
      <c r="C968" s="2"/>
      <c r="D968" s="2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3.5" hidden="false" customHeight="true" outlineLevel="0" collapsed="false">
      <c r="A969" s="2"/>
      <c r="B969" s="2"/>
      <c r="C969" s="2"/>
      <c r="D969" s="2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3.5" hidden="false" customHeight="true" outlineLevel="0" collapsed="false">
      <c r="A970" s="2"/>
      <c r="B970" s="2"/>
      <c r="C970" s="2"/>
      <c r="D970" s="2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3.5" hidden="false" customHeight="true" outlineLevel="0" collapsed="false">
      <c r="A971" s="2"/>
      <c r="B971" s="2"/>
      <c r="C971" s="2"/>
      <c r="D971" s="2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3.5" hidden="false" customHeight="true" outlineLevel="0" collapsed="false">
      <c r="A972" s="2"/>
      <c r="B972" s="2"/>
      <c r="C972" s="2"/>
      <c r="D972" s="2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3.5" hidden="false" customHeight="true" outlineLevel="0" collapsed="false">
      <c r="A973" s="2"/>
      <c r="B973" s="2"/>
      <c r="C973" s="2"/>
      <c r="D973" s="2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3.5" hidden="false" customHeight="true" outlineLevel="0" collapsed="false">
      <c r="A974" s="2"/>
      <c r="B974" s="2"/>
      <c r="C974" s="2"/>
      <c r="D974" s="2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3.5" hidden="false" customHeight="true" outlineLevel="0" collapsed="false">
      <c r="A975" s="2"/>
      <c r="B975" s="2"/>
      <c r="C975" s="2"/>
      <c r="D975" s="2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3.5" hidden="false" customHeight="true" outlineLevel="0" collapsed="false">
      <c r="A976" s="2"/>
      <c r="B976" s="2"/>
      <c r="C976" s="2"/>
      <c r="D976" s="2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3.5" hidden="false" customHeight="true" outlineLevel="0" collapsed="false">
      <c r="A977" s="2"/>
      <c r="B977" s="2"/>
      <c r="C977" s="2"/>
      <c r="D977" s="2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3.5" hidden="false" customHeight="true" outlineLevel="0" collapsed="false">
      <c r="A978" s="2"/>
      <c r="B978" s="2"/>
      <c r="C978" s="2"/>
      <c r="D978" s="2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3.5" hidden="false" customHeight="true" outlineLevel="0" collapsed="false">
      <c r="A979" s="2"/>
      <c r="B979" s="2"/>
      <c r="C979" s="2"/>
      <c r="D979" s="2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3.5" hidden="false" customHeight="true" outlineLevel="0" collapsed="false">
      <c r="A980" s="2"/>
      <c r="B980" s="2"/>
      <c r="C980" s="2"/>
      <c r="D980" s="2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3.5" hidden="false" customHeight="true" outlineLevel="0" collapsed="false">
      <c r="A981" s="2"/>
      <c r="B981" s="2"/>
      <c r="C981" s="2"/>
      <c r="D981" s="2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3.5" hidden="false" customHeight="true" outlineLevel="0" collapsed="false">
      <c r="A982" s="2"/>
      <c r="B982" s="2"/>
      <c r="C982" s="2"/>
      <c r="D982" s="2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3.5" hidden="false" customHeight="true" outlineLevel="0" collapsed="false">
      <c r="A983" s="2"/>
      <c r="B983" s="2"/>
      <c r="C983" s="2"/>
      <c r="D983" s="2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3.5" hidden="false" customHeight="true" outlineLevel="0" collapsed="false">
      <c r="A984" s="2"/>
      <c r="B984" s="2"/>
      <c r="C984" s="2"/>
      <c r="D984" s="2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3.5" hidden="false" customHeight="true" outlineLevel="0" collapsed="false">
      <c r="A985" s="2"/>
      <c r="B985" s="2"/>
      <c r="C985" s="2"/>
      <c r="D985" s="2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3.5" hidden="false" customHeight="true" outlineLevel="0" collapsed="false">
      <c r="A986" s="2"/>
      <c r="B986" s="2"/>
      <c r="C986" s="2"/>
      <c r="D986" s="2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3.5" hidden="false" customHeight="true" outlineLevel="0" collapsed="false">
      <c r="A987" s="2"/>
      <c r="B987" s="2"/>
      <c r="C987" s="2"/>
      <c r="D987" s="2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3.5" hidden="false" customHeight="true" outlineLevel="0" collapsed="false">
      <c r="A988" s="2"/>
      <c r="B988" s="2"/>
      <c r="C988" s="2"/>
      <c r="D988" s="2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3.5" hidden="false" customHeight="true" outlineLevel="0" collapsed="false">
      <c r="A989" s="2"/>
      <c r="B989" s="2"/>
      <c r="C989" s="2"/>
      <c r="D989" s="2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3.5" hidden="false" customHeight="true" outlineLevel="0" collapsed="false">
      <c r="A990" s="2"/>
      <c r="B990" s="2"/>
      <c r="C990" s="2"/>
      <c r="D990" s="2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3.5" hidden="false" customHeight="true" outlineLevel="0" collapsed="false">
      <c r="A991" s="2"/>
      <c r="B991" s="2"/>
      <c r="C991" s="2"/>
      <c r="D991" s="2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3.5" hidden="false" customHeight="true" outlineLevel="0" collapsed="false">
      <c r="A992" s="2"/>
      <c r="B992" s="2"/>
      <c r="C992" s="2"/>
      <c r="D992" s="2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3.5" hidden="false" customHeight="true" outlineLevel="0" collapsed="false">
      <c r="A993" s="2"/>
      <c r="B993" s="2"/>
      <c r="C993" s="2"/>
      <c r="D993" s="2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3.5" hidden="false" customHeight="true" outlineLevel="0" collapsed="false">
      <c r="A994" s="2"/>
      <c r="B994" s="2"/>
      <c r="C994" s="2"/>
      <c r="D994" s="2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3.5" hidden="false" customHeight="true" outlineLevel="0" collapsed="false">
      <c r="A995" s="2"/>
      <c r="B995" s="2"/>
      <c r="C995" s="2"/>
      <c r="D995" s="2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3.5" hidden="false" customHeight="true" outlineLevel="0" collapsed="false">
      <c r="A996" s="2"/>
      <c r="B996" s="2"/>
      <c r="C996" s="2"/>
      <c r="D996" s="2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3.5" hidden="false" customHeight="true" outlineLevel="0" collapsed="false">
      <c r="A997" s="2"/>
      <c r="B997" s="2"/>
      <c r="C997" s="2"/>
      <c r="D997" s="2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3.5" hidden="false" customHeight="true" outlineLevel="0" collapsed="false">
      <c r="A998" s="2"/>
      <c r="B998" s="2"/>
      <c r="C998" s="2"/>
      <c r="D998" s="2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autoFilter ref="A3:R148"/>
  <mergeCells count="3">
    <mergeCell ref="A1:Z1"/>
    <mergeCell ref="D2:I2"/>
    <mergeCell ref="T3:Y3"/>
  </mergeCells>
  <conditionalFormatting sqref="A5:Z23">
    <cfRule type="expression" priority="2" aboveAverage="0" equalAverage="0" bottom="0" percent="0" rank="0" text="" dxfId="14">
      <formula>LEN(TRIM(A5))&gt;0</formula>
    </cfRule>
  </conditionalFormatting>
  <dataValidations count="2">
    <dataValidation allowBlank="true" errorStyle="stop" operator="between" showDropDown="false" showErrorMessage="true" showInputMessage="false" sqref="R5:R23 R25:R30 R32:R33 R35:R43 R45:R57 R59:R73 R75:R88 R90:R127 R129:R142 R144:R148" type="list">
      <formula1>"Quy ước,Cần kiểm chứng/báo giá,Cần xác nhận,Đã xác nhận,Đã kiểm chứng và báo giá"</formula1>
      <formula2>0</formula2>
    </dataValidation>
    <dataValidation allowBlank="true" errorStyle="stop" operator="between" showDropDown="false" showErrorMessage="true" showInputMessage="false" sqref="R31" type="list">
      <formula1>"Quy ước,Cần kiểm chứng/báo giá,Cần xác nhận,Đã xác nhận,Đã kiểm chứng và báo giá,Tham chiếu DIA+"</formula1>
      <formula2>0</formula2>
    </dataValidation>
  </dataValidations>
  <hyperlinks>
    <hyperlink ref="Q134" r:id="rId1" display="Giá được tham khảo tại trang web cloudflare.com với gói Pro $240/năm tương đương $20/tháng và tỷ giá được xác định theo ngày 20/07/2026 với 1 USD = 26.940 VND"/>
    <hyperlink ref="Q140" r:id="rId2" display="Giá được tham khảo ngày 20/07/2026 tại trang web gemini.google.com và claude.ai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9"/>
  <sheetViews>
    <sheetView showFormulas="false" showGridLines="false" showRowColHeaders="true" showZeros="true" rightToLeft="false" tabSelected="false" showOutlineSymbols="true" defaultGridColor="true" view="normal" topLeftCell="C1" colorId="64" zoomScale="77" zoomScaleNormal="77" zoomScalePageLayoutView="100" workbookViewId="0">
      <selection pane="topLeft" activeCell="A1" activeCellId="0" sqref="A1"/>
    </sheetView>
  </sheetViews>
  <sheetFormatPr defaultColWidth="12.6328125" defaultRowHeight="14.25" zeroHeight="false" outlineLevelRow="0" outlineLevelCol="0"/>
  <cols>
    <col collapsed="false" customWidth="true" hidden="false" outlineLevel="0" max="1" min="1" style="0" width="77.36"/>
    <col collapsed="false" customWidth="true" hidden="false" outlineLevel="0" max="2" min="2" style="0" width="21.27"/>
    <col collapsed="false" customWidth="true" hidden="false" outlineLevel="0" max="3" min="3" style="0" width="27"/>
    <col collapsed="false" customWidth="true" hidden="false" outlineLevel="0" max="4" min="4" style="0" width="25.91"/>
    <col collapsed="false" customWidth="true" hidden="false" outlineLevel="0" max="5" min="5" style="0" width="27.82"/>
    <col collapsed="false" customWidth="true" hidden="false" outlineLevel="0" max="6" min="6" style="0" width="28.73"/>
    <col collapsed="false" customWidth="true" hidden="false" outlineLevel="0" max="7" min="7" style="0" width="29.91"/>
    <col collapsed="false" customWidth="true" hidden="false" outlineLevel="0" max="8" min="8" style="0" width="18.73"/>
    <col collapsed="false" customWidth="true" hidden="false" outlineLevel="0" max="9" min="9" style="0" width="29.63"/>
    <col collapsed="false" customWidth="true" hidden="false" outlineLevel="0" max="10" min="10" style="0" width="11.73"/>
    <col collapsed="false" customWidth="true" hidden="false" outlineLevel="0" max="11" min="11" style="0" width="82.36"/>
    <col collapsed="false" customWidth="true" hidden="false" outlineLevel="0" max="26" min="12" style="0" width="8.63"/>
  </cols>
  <sheetData>
    <row r="1" customFormat="false" ht="24" hidden="false" customHeight="true" outlineLevel="0" collapsed="false">
      <c r="A1" s="103" t="s">
        <v>435</v>
      </c>
      <c r="B1" s="103"/>
      <c r="C1" s="103"/>
      <c r="D1" s="103"/>
      <c r="E1" s="103"/>
      <c r="F1" s="103"/>
      <c r="G1" s="103"/>
      <c r="H1" s="103"/>
      <c r="I1" s="103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</row>
    <row r="2" customFormat="false" ht="33.75" hidden="false" customHeight="true" outlineLevel="0" collapsed="false">
      <c r="A2" s="105"/>
      <c r="B2" s="105"/>
      <c r="C2" s="105"/>
      <c r="D2" s="105"/>
      <c r="E2" s="105"/>
      <c r="F2" s="105"/>
      <c r="G2" s="105"/>
      <c r="H2" s="105"/>
      <c r="I2" s="105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 customFormat="false" ht="13.5" hidden="false" customHeight="true" outlineLevel="0" collapsed="false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</row>
    <row r="4" customFormat="false" ht="19.5" hidden="false" customHeight="true" outlineLevel="0" collapsed="false">
      <c r="A4" s="106" t="s">
        <v>436</v>
      </c>
      <c r="B4" s="106"/>
      <c r="C4" s="106"/>
      <c r="D4" s="106"/>
      <c r="E4" s="106"/>
      <c r="F4" s="106"/>
      <c r="G4" s="106"/>
      <c r="H4" s="106"/>
      <c r="I4" s="106"/>
      <c r="K4" s="107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</row>
    <row r="5" customFormat="false" ht="43.5" hidden="false" customHeight="true" outlineLevel="0" collapsed="false">
      <c r="A5" s="108" t="s">
        <v>437</v>
      </c>
      <c r="B5" s="108" t="s">
        <v>3</v>
      </c>
      <c r="C5" s="108" t="s">
        <v>4</v>
      </c>
      <c r="D5" s="108" t="s">
        <v>5</v>
      </c>
      <c r="E5" s="108" t="s">
        <v>438</v>
      </c>
      <c r="F5" s="108" t="s">
        <v>439</v>
      </c>
      <c r="G5" s="108" t="s">
        <v>8</v>
      </c>
      <c r="H5" s="108" t="s">
        <v>97</v>
      </c>
      <c r="I5" s="108" t="s">
        <v>440</v>
      </c>
      <c r="K5" s="109" t="s">
        <v>441</v>
      </c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</row>
    <row r="6" customFormat="false" ht="19.5" hidden="false" customHeight="true" outlineLevel="0" collapsed="false">
      <c r="A6" s="110" t="s">
        <v>442</v>
      </c>
      <c r="B6" s="111" t="n">
        <f aca="false">'DIA_Giả Định'!$N$90</f>
        <v>1</v>
      </c>
      <c r="C6" s="112" t="n">
        <f aca="false">'DIA_Giả Định'!$N$91</f>
        <v>270000000</v>
      </c>
      <c r="D6" s="112" t="n">
        <f aca="false">B6*C6</f>
        <v>270000000</v>
      </c>
      <c r="E6" s="113" t="s">
        <v>38</v>
      </c>
      <c r="F6" s="114" t="n">
        <v>0</v>
      </c>
      <c r="G6" s="110" t="s">
        <v>443</v>
      </c>
      <c r="H6" s="110" t="s">
        <v>117</v>
      </c>
      <c r="I6" s="110" t="s">
        <v>443</v>
      </c>
      <c r="K6" s="104" t="s">
        <v>444</v>
      </c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</row>
    <row r="7" customFormat="false" ht="19.5" hidden="false" customHeight="true" outlineLevel="0" collapsed="false">
      <c r="A7" s="110" t="s">
        <v>445</v>
      </c>
      <c r="B7" s="111" t="n">
        <f aca="false">'DIA_Giả Định'!$N$92</f>
        <v>1</v>
      </c>
      <c r="C7" s="112" t="n">
        <f aca="false">'DIA_Danh Mục Đầu Tư'!$D$25</f>
        <v>259850000</v>
      </c>
      <c r="D7" s="112" t="n">
        <f aca="false">B7*C7</f>
        <v>259850000</v>
      </c>
      <c r="E7" s="113" t="s">
        <v>10</v>
      </c>
      <c r="F7" s="114" t="n">
        <f aca="false">'DIA_Giả Định'!$N$64</f>
        <v>1</v>
      </c>
      <c r="G7" s="110" t="s">
        <v>446</v>
      </c>
      <c r="H7" s="110" t="s">
        <v>117</v>
      </c>
      <c r="I7" s="110" t="s">
        <v>447</v>
      </c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</row>
    <row r="8" customFormat="false" ht="19.5" hidden="false" customHeight="true" outlineLevel="0" collapsed="false">
      <c r="A8" s="110" t="s">
        <v>32</v>
      </c>
      <c r="B8" s="111" t="n">
        <f aca="false">'DIA_Giả Định'!$N$96</f>
        <v>2</v>
      </c>
      <c r="C8" s="112" t="n">
        <f aca="false">'DIA_Giả Định'!$N$97</f>
        <v>8000000</v>
      </c>
      <c r="D8" s="112" t="n">
        <f aca="false">B8*C8</f>
        <v>16000000</v>
      </c>
      <c r="E8" s="113" t="s">
        <v>10</v>
      </c>
      <c r="F8" s="114" t="n">
        <f aca="false">'DIA_Giả Định'!$N$64</f>
        <v>1</v>
      </c>
      <c r="G8" s="110" t="s">
        <v>446</v>
      </c>
      <c r="H8" s="110" t="s">
        <v>117</v>
      </c>
      <c r="I8" s="110" t="s">
        <v>447</v>
      </c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</row>
    <row r="9" customFormat="false" ht="19.5" hidden="false" customHeight="true" outlineLevel="0" collapsed="false">
      <c r="A9" s="110" t="s">
        <v>31</v>
      </c>
      <c r="B9" s="111" t="n">
        <v>1</v>
      </c>
      <c r="C9" s="112" t="n">
        <f aca="false">'DIA_Danh Mục Đầu Tư'!$D$14</f>
        <v>2600000</v>
      </c>
      <c r="D9" s="112" t="n">
        <f aca="false">'DIA_Danh Mục Đầu Tư'!$D$14</f>
        <v>2600000</v>
      </c>
      <c r="E9" s="113" t="s">
        <v>10</v>
      </c>
      <c r="F9" s="114" t="n">
        <f aca="false">'DIA_Giả Định'!$N$64</f>
        <v>1</v>
      </c>
      <c r="G9" s="110" t="s">
        <v>446</v>
      </c>
      <c r="H9" s="110" t="s">
        <v>117</v>
      </c>
      <c r="I9" s="110" t="s">
        <v>447</v>
      </c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</row>
    <row r="10" customFormat="false" ht="19.5" hidden="false" customHeight="true" outlineLevel="0" collapsed="false">
      <c r="A10" s="110" t="s">
        <v>18</v>
      </c>
      <c r="B10" s="111" t="n">
        <v>1</v>
      </c>
      <c r="C10" s="112" t="n">
        <f aca="false">'DIA_Danh Mục Đầu Tư'!$D$8</f>
        <v>96000000</v>
      </c>
      <c r="D10" s="112" t="n">
        <f aca="false">'DIA_Danh Mục Đầu Tư'!$E$8</f>
        <v>96000000</v>
      </c>
      <c r="E10" s="113"/>
      <c r="F10" s="114" t="n">
        <f aca="false">'DIA_Giả Định'!$N$64</f>
        <v>1</v>
      </c>
      <c r="G10" s="110" t="s">
        <v>446</v>
      </c>
      <c r="H10" s="110" t="s">
        <v>117</v>
      </c>
      <c r="I10" s="110" t="s">
        <v>447</v>
      </c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</row>
    <row r="11" customFormat="false" ht="36.75" hidden="false" customHeight="true" outlineLevel="0" collapsed="false">
      <c r="A11" s="110" t="s">
        <v>448</v>
      </c>
      <c r="B11" s="111" t="n">
        <f aca="false">'DIA_Giả Định'!$N$98</f>
        <v>1</v>
      </c>
      <c r="C11" s="112" t="n">
        <f aca="false">'DIA_Giả Định'!$N$99</f>
        <v>40000000</v>
      </c>
      <c r="D11" s="112" t="n">
        <f aca="false">B11*C11</f>
        <v>40000000</v>
      </c>
      <c r="E11" s="113" t="s">
        <v>10</v>
      </c>
      <c r="F11" s="114" t="n">
        <f aca="false">'DIA_Giả Định'!$N$64</f>
        <v>1</v>
      </c>
      <c r="G11" s="110" t="s">
        <v>449</v>
      </c>
      <c r="H11" s="110" t="s">
        <v>117</v>
      </c>
      <c r="I11" s="110" t="s">
        <v>447</v>
      </c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</row>
    <row r="12" customFormat="false" ht="36.75" hidden="false" customHeight="true" outlineLevel="0" collapsed="false">
      <c r="A12" s="110" t="s">
        <v>450</v>
      </c>
      <c r="B12" s="111" t="n">
        <f aca="false">'DIA_Giả Định'!$N$100</f>
        <v>1</v>
      </c>
      <c r="C12" s="112" t="n">
        <f aca="false">'DIA_Giả Định'!$N$101</f>
        <v>40000000</v>
      </c>
      <c r="D12" s="112" t="n">
        <f aca="false">B12*C12</f>
        <v>40000000</v>
      </c>
      <c r="E12" s="113" t="s">
        <v>10</v>
      </c>
      <c r="F12" s="114" t="n">
        <f aca="false">'DIA_Giả Định'!$N$64</f>
        <v>1</v>
      </c>
      <c r="G12" s="110" t="s">
        <v>449</v>
      </c>
      <c r="H12" s="110" t="s">
        <v>117</v>
      </c>
      <c r="I12" s="110" t="s">
        <v>447</v>
      </c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</row>
    <row r="13" customFormat="false" ht="19.5" hidden="false" customHeight="true" outlineLevel="0" collapsed="false">
      <c r="A13" s="110" t="s">
        <v>37</v>
      </c>
      <c r="B13" s="111" t="n">
        <f aca="false">'DIA_Giả Định'!$N$141</f>
        <v>6</v>
      </c>
      <c r="C13" s="112" t="n">
        <f aca="false">'DIA_Danh Mục Đầu Tư'!$D$18</f>
        <v>41000000</v>
      </c>
      <c r="D13" s="112" t="n">
        <f aca="false">'DIA_Danh Mục Đầu Tư'!$E$18</f>
        <v>41000000</v>
      </c>
      <c r="E13" s="113" t="s">
        <v>38</v>
      </c>
      <c r="F13" s="114" t="n">
        <v>0</v>
      </c>
      <c r="G13" s="110" t="s">
        <v>443</v>
      </c>
      <c r="H13" s="110" t="s">
        <v>117</v>
      </c>
      <c r="I13" s="110" t="s">
        <v>443</v>
      </c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</row>
    <row r="14" customFormat="false" ht="36.75" hidden="false" customHeight="true" outlineLevel="0" collapsed="false">
      <c r="A14" s="110" t="s">
        <v>451</v>
      </c>
      <c r="B14" s="111" t="n">
        <f aca="false">'DIA_Giả Định'!$N$114</f>
        <v>5</v>
      </c>
      <c r="C14" s="112" t="n">
        <f aca="false">'DIA_Giả Định'!$N$115</f>
        <v>24700000</v>
      </c>
      <c r="D14" s="112" t="n">
        <f aca="false">B14*C14</f>
        <v>123500000</v>
      </c>
      <c r="E14" s="113" t="s">
        <v>10</v>
      </c>
      <c r="F14" s="114" t="n">
        <f aca="false">'DIA_Giả Định'!$N$65</f>
        <v>4</v>
      </c>
      <c r="G14" s="110" t="s">
        <v>452</v>
      </c>
      <c r="H14" s="110" t="s">
        <v>117</v>
      </c>
      <c r="I14" s="110" t="s">
        <v>453</v>
      </c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</row>
    <row r="15" customFormat="false" ht="36.75" hidden="false" customHeight="true" outlineLevel="0" collapsed="false">
      <c r="A15" s="110" t="s">
        <v>454</v>
      </c>
      <c r="B15" s="111" t="n">
        <f aca="false">'DIA_Giả Định'!$N$116</f>
        <v>1</v>
      </c>
      <c r="C15" s="112" t="n">
        <f aca="false">'DIA_Giả Định'!$N$117</f>
        <v>16300000</v>
      </c>
      <c r="D15" s="112" t="n">
        <f aca="false">B15*C15</f>
        <v>16300000</v>
      </c>
      <c r="E15" s="113" t="s">
        <v>10</v>
      </c>
      <c r="F15" s="114" t="n">
        <f aca="false">'DIA_Giả Định'!$N$65</f>
        <v>4</v>
      </c>
      <c r="G15" s="110" t="s">
        <v>455</v>
      </c>
      <c r="H15" s="110" t="s">
        <v>117</v>
      </c>
      <c r="I15" s="110" t="s">
        <v>453</v>
      </c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</row>
    <row r="16" customFormat="false" ht="19.5" hidden="false" customHeight="true" outlineLevel="0" collapsed="false">
      <c r="A16" s="110" t="s">
        <v>456</v>
      </c>
      <c r="B16" s="111" t="n">
        <f aca="false">'DIA_Giả Định'!$N$118</f>
        <v>1</v>
      </c>
      <c r="C16" s="112" t="n">
        <f aca="false">'DIA_Giả Định'!$N$119</f>
        <v>80000000</v>
      </c>
      <c r="D16" s="112" t="n">
        <f aca="false">B16*C16</f>
        <v>80000000</v>
      </c>
      <c r="E16" s="113" t="s">
        <v>38</v>
      </c>
      <c r="F16" s="114" t="n">
        <v>0</v>
      </c>
      <c r="G16" s="110" t="s">
        <v>457</v>
      </c>
      <c r="H16" s="110" t="s">
        <v>117</v>
      </c>
      <c r="I16" s="110" t="s">
        <v>443</v>
      </c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</row>
    <row r="17" customFormat="false" ht="19.5" hidden="false" customHeight="true" outlineLevel="0" collapsed="false">
      <c r="A17" s="110" t="s">
        <v>458</v>
      </c>
      <c r="B17" s="111" t="n">
        <f aca="false">'DIA_Giả Định'!$N$120</f>
        <v>1</v>
      </c>
      <c r="C17" s="112" t="n">
        <f aca="false">'DIA_Giả Định'!$N$121</f>
        <v>150000000</v>
      </c>
      <c r="D17" s="112" t="n">
        <f aca="false">B17*C17</f>
        <v>150000000</v>
      </c>
      <c r="E17" s="113" t="s">
        <v>38</v>
      </c>
      <c r="F17" s="114" t="n">
        <v>0</v>
      </c>
      <c r="G17" s="110" t="s">
        <v>459</v>
      </c>
      <c r="H17" s="110" t="s">
        <v>117</v>
      </c>
      <c r="I17" s="110" t="s">
        <v>443</v>
      </c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 customFormat="false" ht="19.5" hidden="false" customHeight="true" outlineLevel="0" collapsed="false">
      <c r="A18" s="110" t="s">
        <v>460</v>
      </c>
      <c r="B18" s="111" t="n">
        <f aca="false">'DIA_Giả Định'!$N$122</f>
        <v>1</v>
      </c>
      <c r="C18" s="112" t="n">
        <f aca="false">'DIA_Giả Định'!$N$123</f>
        <v>20000000</v>
      </c>
      <c r="D18" s="112" t="n">
        <f aca="false">B18*C18</f>
        <v>20000000</v>
      </c>
      <c r="E18" s="113" t="s">
        <v>38</v>
      </c>
      <c r="F18" s="114" t="n">
        <v>0</v>
      </c>
      <c r="G18" s="110" t="s">
        <v>443</v>
      </c>
      <c r="H18" s="110" t="s">
        <v>117</v>
      </c>
      <c r="I18" s="110" t="s">
        <v>443</v>
      </c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 customFormat="false" ht="19.5" hidden="false" customHeight="true" outlineLevel="0" collapsed="false">
      <c r="A19" s="110" t="s">
        <v>461</v>
      </c>
      <c r="B19" s="111" t="n">
        <f aca="false">'DIA_Giả Định'!$N$124</f>
        <v>1</v>
      </c>
      <c r="C19" s="112" t="n">
        <f aca="false">'DIA_Giả Định'!$N$125</f>
        <v>300000000</v>
      </c>
      <c r="D19" s="112" t="n">
        <f aca="false">B19*C19</f>
        <v>300000000</v>
      </c>
      <c r="E19" s="113" t="s">
        <v>38</v>
      </c>
      <c r="F19" s="114" t="n">
        <v>0</v>
      </c>
      <c r="G19" s="110" t="s">
        <v>462</v>
      </c>
      <c r="H19" s="110" t="s">
        <v>117</v>
      </c>
      <c r="I19" s="110" t="s">
        <v>463</v>
      </c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 customFormat="false" ht="19.5" hidden="false" customHeight="true" outlineLevel="0" collapsed="false">
      <c r="A20" s="110" t="s">
        <v>70</v>
      </c>
      <c r="B20" s="111" t="n">
        <f aca="false">'DIA_Giả Định'!$N$126</f>
        <v>1</v>
      </c>
      <c r="C20" s="112" t="n">
        <f aca="false">'DIA_Giả Định'!$N$127</f>
        <v>300000000</v>
      </c>
      <c r="D20" s="112" t="n">
        <f aca="false">B20*C20</f>
        <v>300000000</v>
      </c>
      <c r="E20" s="113" t="s">
        <v>38</v>
      </c>
      <c r="F20" s="114" t="n">
        <v>0</v>
      </c>
      <c r="G20" s="110" t="s">
        <v>464</v>
      </c>
      <c r="H20" s="110" t="s">
        <v>117</v>
      </c>
      <c r="I20" s="110" t="s">
        <v>443</v>
      </c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 customFormat="false" ht="19.5" hidden="false" customHeight="true" outlineLevel="0" collapsed="false">
      <c r="A21" s="115" t="s">
        <v>465</v>
      </c>
      <c r="B21" s="115"/>
      <c r="C21" s="115"/>
      <c r="D21" s="116" t="n">
        <f aca="false">SUM(D6:D20)</f>
        <v>1755250000</v>
      </c>
      <c r="E21" s="115"/>
      <c r="F21" s="115"/>
      <c r="G21" s="115"/>
      <c r="H21" s="115"/>
      <c r="I21" s="115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 customFormat="false" ht="13.5" hidden="false" customHeight="true" outlineLevel="0" collapsed="false">
      <c r="A22" s="104"/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</row>
    <row r="23" customFormat="false" ht="13.5" hidden="false" customHeight="true" outlineLevel="0" collapsed="false">
      <c r="A23" s="104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</row>
    <row r="24" customFormat="false" ht="19.5" hidden="false" customHeight="true" outlineLevel="0" collapsed="false">
      <c r="A24" s="106" t="s">
        <v>466</v>
      </c>
      <c r="B24" s="106"/>
      <c r="C24" s="106"/>
      <c r="D24" s="106"/>
      <c r="E24" s="106"/>
      <c r="F24" s="106"/>
      <c r="G24" s="106"/>
      <c r="H24" s="106"/>
      <c r="I24" s="106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</row>
    <row r="25" customFormat="false" ht="30" hidden="false" customHeight="true" outlineLevel="0" collapsed="false">
      <c r="A25" s="108" t="s">
        <v>437</v>
      </c>
      <c r="B25" s="108" t="s">
        <v>467</v>
      </c>
      <c r="C25" s="108" t="s">
        <v>468</v>
      </c>
      <c r="D25" s="108" t="s">
        <v>469</v>
      </c>
      <c r="E25" s="108" t="s">
        <v>470</v>
      </c>
      <c r="F25" s="108" t="s">
        <v>471</v>
      </c>
      <c r="G25" s="108" t="s">
        <v>472</v>
      </c>
      <c r="H25" s="108" t="s">
        <v>97</v>
      </c>
      <c r="I25" s="108" t="s">
        <v>473</v>
      </c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</row>
    <row r="26" customFormat="false" ht="36.75" hidden="false" customHeight="true" outlineLevel="0" collapsed="false">
      <c r="A26" s="110" t="s">
        <v>14</v>
      </c>
      <c r="B26" s="112" t="n">
        <f aca="false">'DIA_Giả Định'!$N$75</f>
        <v>25000000</v>
      </c>
      <c r="C26" s="112" t="n">
        <f aca="false">B26*'DIA_Giả Định'!$N$5</f>
        <v>300000000</v>
      </c>
      <c r="D26" s="112" t="n">
        <f aca="false">'DIA_Giả Định'!$O$75</f>
        <v>30000000</v>
      </c>
      <c r="E26" s="112" t="n">
        <f aca="false">D26*'DIA_Giả Định'!$O$5</f>
        <v>360000000</v>
      </c>
      <c r="F26" s="112" t="n">
        <f aca="false">'DIA_Giả Định'!$P$75</f>
        <v>35000000</v>
      </c>
      <c r="G26" s="112" t="n">
        <f aca="false">F26*'DIA_Giả Định'!$P$5</f>
        <v>420000000</v>
      </c>
      <c r="H26" s="110" t="s">
        <v>117</v>
      </c>
      <c r="I26" s="110" t="s">
        <v>474</v>
      </c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</row>
    <row r="27" customFormat="false" ht="36.75" hidden="false" customHeight="true" outlineLevel="0" collapsed="false">
      <c r="A27" s="110" t="s">
        <v>285</v>
      </c>
      <c r="B27" s="112" t="n">
        <f aca="false">'DIA_Giả Định'!$N$76</f>
        <v>8000000</v>
      </c>
      <c r="C27" s="112" t="n">
        <f aca="false">B27*'DIA_Giả Định'!$N$5</f>
        <v>96000000</v>
      </c>
      <c r="D27" s="112" t="n">
        <f aca="false">'DIA_Giả Định'!$O$76</f>
        <v>9000000</v>
      </c>
      <c r="E27" s="112" t="n">
        <f aca="false">D27*'DIA_Giả Định'!$O$5</f>
        <v>108000000</v>
      </c>
      <c r="F27" s="112" t="n">
        <f aca="false">'DIA_Giả Định'!$P$76</f>
        <v>10000000</v>
      </c>
      <c r="G27" s="112" t="n">
        <f aca="false">F27*'DIA_Giả Định'!$P$5</f>
        <v>120000000</v>
      </c>
      <c r="H27" s="110" t="s">
        <v>117</v>
      </c>
      <c r="I27" s="110" t="s">
        <v>474</v>
      </c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</row>
    <row r="28" customFormat="false" ht="36.75" hidden="false" customHeight="true" outlineLevel="0" collapsed="false">
      <c r="A28" s="110" t="s">
        <v>287</v>
      </c>
      <c r="B28" s="112" t="n">
        <f aca="false">'DIA_Giả Định'!$N$77</f>
        <v>6000000</v>
      </c>
      <c r="C28" s="112" t="n">
        <f aca="false">B28*'DIA_Giả Định'!$N$5</f>
        <v>72000000</v>
      </c>
      <c r="D28" s="112" t="n">
        <f aca="false">'DIA_Giả Định'!$O$77</f>
        <v>9000000</v>
      </c>
      <c r="E28" s="112" t="n">
        <f aca="false">D28*'DIA_Giả Định'!$O$5</f>
        <v>108000000</v>
      </c>
      <c r="F28" s="112" t="n">
        <f aca="false">'DIA_Giả Định'!$P$77</f>
        <v>12000000</v>
      </c>
      <c r="G28" s="112" t="n">
        <f aca="false">F28*'DIA_Giả Định'!$P$5</f>
        <v>144000000</v>
      </c>
      <c r="H28" s="110" t="s">
        <v>117</v>
      </c>
      <c r="I28" s="110" t="s">
        <v>474</v>
      </c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 customFormat="false" ht="36.75" hidden="false" customHeight="true" outlineLevel="0" collapsed="false">
      <c r="A29" s="110" t="s">
        <v>289</v>
      </c>
      <c r="B29" s="112" t="n">
        <f aca="false">'DIA_Giả Định'!$N$78</f>
        <v>8000000</v>
      </c>
      <c r="C29" s="112" t="n">
        <f aca="false">B29*'DIA_Giả Định'!$N$5</f>
        <v>96000000</v>
      </c>
      <c r="D29" s="112" t="n">
        <f aca="false">'DIA_Giả Định'!$O$78</f>
        <v>9500000</v>
      </c>
      <c r="E29" s="112" t="n">
        <f aca="false">D29*'DIA_Giả Định'!$O$5</f>
        <v>114000000</v>
      </c>
      <c r="F29" s="112" t="n">
        <f aca="false">'DIA_Giả Định'!$P$78</f>
        <v>12000000</v>
      </c>
      <c r="G29" s="112" t="n">
        <f aca="false">F29*'DIA_Giả Định'!$P$5</f>
        <v>144000000</v>
      </c>
      <c r="H29" s="110" t="s">
        <v>117</v>
      </c>
      <c r="I29" s="110" t="s">
        <v>475</v>
      </c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 customFormat="false" ht="36.75" hidden="false" customHeight="true" outlineLevel="0" collapsed="false">
      <c r="A30" s="110" t="s">
        <v>291</v>
      </c>
      <c r="B30" s="112" t="n">
        <f aca="false">'DIA_Giả Định'!$N$79</f>
        <v>15000000</v>
      </c>
      <c r="C30" s="112" t="n">
        <f aca="false">B30*'DIA_Giả Định'!$N$5</f>
        <v>180000000</v>
      </c>
      <c r="D30" s="112" t="n">
        <f aca="false">'DIA_Giả Định'!$O$79</f>
        <v>20000000</v>
      </c>
      <c r="E30" s="112" t="n">
        <f aca="false">D30*'DIA_Giả Định'!$O$5</f>
        <v>240000000</v>
      </c>
      <c r="F30" s="112" t="n">
        <f aca="false">'DIA_Giả Định'!$P$79</f>
        <v>25000000</v>
      </c>
      <c r="G30" s="112" t="n">
        <f aca="false">F30*'DIA_Giả Định'!$P$5</f>
        <v>300000000</v>
      </c>
      <c r="H30" s="110" t="s">
        <v>117</v>
      </c>
      <c r="I30" s="110" t="s">
        <v>291</v>
      </c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 customFormat="false" ht="36.75" hidden="false" customHeight="true" outlineLevel="0" collapsed="false">
      <c r="A31" s="110" t="s">
        <v>293</v>
      </c>
      <c r="B31" s="112" t="n">
        <f aca="false">'DIA_Giả Định'!$N$80</f>
        <v>10000000</v>
      </c>
      <c r="C31" s="112" t="n">
        <f aca="false">B31*'DIA_Giả Định'!$N$5</f>
        <v>120000000</v>
      </c>
      <c r="D31" s="112" t="n">
        <f aca="false">'DIA_Giả Định'!$O$80</f>
        <v>12000000</v>
      </c>
      <c r="E31" s="112" t="n">
        <f aca="false">D31*'DIA_Giả Định'!$O$5</f>
        <v>144000000</v>
      </c>
      <c r="F31" s="112" t="n">
        <f aca="false">'DIA_Giả Định'!$P$80</f>
        <v>15000000</v>
      </c>
      <c r="G31" s="112" t="n">
        <f aca="false">F31*'DIA_Giả Định'!$P$5</f>
        <v>180000000</v>
      </c>
      <c r="H31" s="110" t="s">
        <v>117</v>
      </c>
      <c r="I31" s="110" t="s">
        <v>474</v>
      </c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</row>
    <row r="32" customFormat="false" ht="36.75" hidden="false" customHeight="true" outlineLevel="0" collapsed="false">
      <c r="A32" s="110" t="s">
        <v>295</v>
      </c>
      <c r="B32" s="112" t="n">
        <f aca="false">'DIA_Giả Định'!$N$81</f>
        <v>7000000</v>
      </c>
      <c r="C32" s="112" t="n">
        <f aca="false">B32*'DIA_Giả Định'!$N$5</f>
        <v>84000000</v>
      </c>
      <c r="D32" s="112" t="n">
        <f aca="false">'DIA_Giả Định'!$O$81</f>
        <v>9000000</v>
      </c>
      <c r="E32" s="112" t="n">
        <f aca="false">D32*'DIA_Giả Định'!$O$5</f>
        <v>108000000</v>
      </c>
      <c r="F32" s="112" t="n">
        <f aca="false">'DIA_Giả Định'!$P$81</f>
        <v>12000000</v>
      </c>
      <c r="G32" s="112" t="n">
        <f aca="false">F32*'DIA_Giả Định'!$P$5</f>
        <v>144000000</v>
      </c>
      <c r="H32" s="110" t="s">
        <v>117</v>
      </c>
      <c r="I32" s="110" t="s">
        <v>475</v>
      </c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 customFormat="false" ht="36.75" hidden="false" customHeight="true" outlineLevel="0" collapsed="false">
      <c r="A33" s="110" t="s">
        <v>476</v>
      </c>
      <c r="B33" s="117" t="s">
        <v>477</v>
      </c>
      <c r="C33" s="117" t="s">
        <v>477</v>
      </c>
      <c r="D33" s="112" t="n">
        <f aca="false">'DIA_Giả Định'!$O$82</f>
        <v>10000000</v>
      </c>
      <c r="E33" s="112" t="n">
        <f aca="false">D33*'DIA_Giả Định'!$N$5</f>
        <v>120000000</v>
      </c>
      <c r="F33" s="112" t="n">
        <f aca="false">'DIA_Giả Định'!$P$82</f>
        <v>12000000</v>
      </c>
      <c r="G33" s="112" t="n">
        <f aca="false">F33*'DIA_Giả Định'!$P$5</f>
        <v>144000000</v>
      </c>
      <c r="H33" s="110" t="s">
        <v>117</v>
      </c>
      <c r="I33" s="110" t="s">
        <v>475</v>
      </c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 customFormat="false" ht="36.75" hidden="false" customHeight="true" outlineLevel="0" collapsed="false">
      <c r="A34" s="110" t="s">
        <v>298</v>
      </c>
      <c r="B34" s="112" t="n">
        <f aca="false">'DIA_Giả Định'!$N$83</f>
        <v>22812500</v>
      </c>
      <c r="C34" s="112" t="n">
        <f aca="false">B34*'DIA_Giả Định'!$N$5</f>
        <v>273750000</v>
      </c>
      <c r="D34" s="112" t="n">
        <f aca="false">'DIA_Giả Định'!$O$83</f>
        <v>22812500</v>
      </c>
      <c r="E34" s="112" t="n">
        <f aca="false">D34*'DIA_Giả Định'!$O$5</f>
        <v>273750000</v>
      </c>
      <c r="F34" s="112" t="n">
        <f aca="false">'DIA_Giả Định'!$P$83</f>
        <v>22812500</v>
      </c>
      <c r="G34" s="112" t="n">
        <f aca="false">F34*'DIA_Giả Định'!$P$5</f>
        <v>273750000</v>
      </c>
      <c r="H34" s="110" t="s">
        <v>117</v>
      </c>
      <c r="I34" s="110" t="s">
        <v>478</v>
      </c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</row>
    <row r="35" customFormat="false" ht="36.75" hidden="false" customHeight="true" outlineLevel="0" collapsed="false">
      <c r="A35" s="110" t="s">
        <v>300</v>
      </c>
      <c r="B35" s="112" t="n">
        <f aca="false">'DIA_Giả Định'!$N$84</f>
        <v>2000000</v>
      </c>
      <c r="C35" s="112" t="n">
        <f aca="false">B35*'DIA_Giả Định'!$N$5</f>
        <v>24000000</v>
      </c>
      <c r="D35" s="112" t="n">
        <f aca="false">'DIA_Giả Định'!$O$84</f>
        <v>4000000</v>
      </c>
      <c r="E35" s="112" t="n">
        <f aca="false">D35*'DIA_Giả Định'!$O$5</f>
        <v>48000000</v>
      </c>
      <c r="F35" s="112" t="n">
        <f aca="false">'DIA_Giả Định'!$P$84</f>
        <v>7000000</v>
      </c>
      <c r="G35" s="112" t="n">
        <f aca="false">F35*'DIA_Giả Định'!$P$5</f>
        <v>84000000</v>
      </c>
      <c r="H35" s="110" t="s">
        <v>117</v>
      </c>
      <c r="I35" s="110" t="s">
        <v>478</v>
      </c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</row>
    <row r="36" customFormat="false" ht="36.75" hidden="false" customHeight="true" outlineLevel="0" collapsed="false">
      <c r="A36" s="110" t="s">
        <v>302</v>
      </c>
      <c r="B36" s="112" t="n">
        <f aca="false">SUM(B37,B38)</f>
        <v>10000000</v>
      </c>
      <c r="C36" s="112" t="n">
        <f aca="false">SUM(C37,C38)</f>
        <v>120000000</v>
      </c>
      <c r="D36" s="112" t="n">
        <f aca="false">SUM(D37,D38)</f>
        <v>14000000</v>
      </c>
      <c r="E36" s="112" t="n">
        <f aca="false">SUM(E37,E38)</f>
        <v>168000000</v>
      </c>
      <c r="F36" s="112" t="n">
        <f aca="false">SUM(F37,F38)</f>
        <v>18000000</v>
      </c>
      <c r="G36" s="112" t="n">
        <f aca="false">SUM(G37,G38)</f>
        <v>216000000</v>
      </c>
      <c r="H36" s="110" t="s">
        <v>117</v>
      </c>
      <c r="I36" s="110" t="s">
        <v>475</v>
      </c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</row>
    <row r="37" customFormat="false" ht="36.75" hidden="false" customHeight="true" outlineLevel="0" collapsed="false">
      <c r="A37" s="110" t="s">
        <v>479</v>
      </c>
      <c r="B37" s="112" t="n">
        <v>5000000</v>
      </c>
      <c r="C37" s="112" t="n">
        <f aca="false">B37*'DIA_Giả Định'!$N$5</f>
        <v>60000000</v>
      </c>
      <c r="D37" s="112" t="n">
        <v>7000000</v>
      </c>
      <c r="E37" s="112" t="n">
        <f aca="false">D37*'DIA_Giả Định'!$O$5</f>
        <v>84000000</v>
      </c>
      <c r="F37" s="112" t="n">
        <v>9000000</v>
      </c>
      <c r="G37" s="112" t="n">
        <f aca="false">F37*'DIA_Giả Định'!$P$5</f>
        <v>108000000</v>
      </c>
      <c r="H37" s="110" t="s">
        <v>117</v>
      </c>
      <c r="I37" s="110" t="s">
        <v>475</v>
      </c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</row>
    <row r="38" customFormat="false" ht="36.75" hidden="false" customHeight="true" outlineLevel="0" collapsed="false">
      <c r="A38" s="110" t="s">
        <v>480</v>
      </c>
      <c r="B38" s="112" t="n">
        <v>5000000</v>
      </c>
      <c r="C38" s="112" t="n">
        <f aca="false">B38*'DIA_Giả Định'!$N$5</f>
        <v>60000000</v>
      </c>
      <c r="D38" s="112" t="n">
        <v>7000000</v>
      </c>
      <c r="E38" s="112" t="n">
        <f aca="false">D38*'DIA_Giả Định'!$O$5</f>
        <v>84000000</v>
      </c>
      <c r="F38" s="112" t="n">
        <v>9000000</v>
      </c>
      <c r="G38" s="112" t="n">
        <f aca="false">F38*'DIA_Giả Định'!$P$5</f>
        <v>108000000</v>
      </c>
      <c r="H38" s="110" t="s">
        <v>117</v>
      </c>
      <c r="I38" s="110" t="s">
        <v>475</v>
      </c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</row>
    <row r="39" customFormat="false" ht="36.75" hidden="false" customHeight="true" outlineLevel="0" collapsed="false">
      <c r="A39" s="110" t="s">
        <v>304</v>
      </c>
      <c r="B39" s="112" t="n">
        <f aca="false">'DIA_Giả Định'!$N$86</f>
        <v>4000000</v>
      </c>
      <c r="C39" s="112" t="n">
        <f aca="false">B39*'DIA_Giả Định'!$N$5</f>
        <v>48000000</v>
      </c>
      <c r="D39" s="112" t="n">
        <f aca="false">'DIA_Giả Định'!$O$86</f>
        <v>10000000</v>
      </c>
      <c r="E39" s="112" t="n">
        <f aca="false">D39*'DIA_Giả Định'!$O$5</f>
        <v>120000000</v>
      </c>
      <c r="F39" s="112" t="n">
        <f aca="false">'DIA_Giả Định'!$P$86</f>
        <v>18000000</v>
      </c>
      <c r="G39" s="112" t="n">
        <f aca="false">F39*'DIA_Giả Định'!$P$5</f>
        <v>216000000</v>
      </c>
      <c r="H39" s="110" t="s">
        <v>117</v>
      </c>
      <c r="I39" s="110" t="s">
        <v>478</v>
      </c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</row>
    <row r="40" customFormat="false" ht="36.75" hidden="false" customHeight="true" outlineLevel="0" collapsed="false">
      <c r="A40" s="110" t="s">
        <v>306</v>
      </c>
      <c r="B40" s="112" t="n">
        <f aca="false">'DIA_Giả Định'!$N$87</f>
        <v>3000000</v>
      </c>
      <c r="C40" s="112" t="n">
        <f aca="false">B40*'DIA_Giả Định'!$N$5</f>
        <v>36000000</v>
      </c>
      <c r="D40" s="112" t="n">
        <f aca="false">'DIA_Giả Định'!$O$87</f>
        <v>6000000</v>
      </c>
      <c r="E40" s="112" t="n">
        <f aca="false">D40*'DIA_Giả Định'!$O$5</f>
        <v>72000000</v>
      </c>
      <c r="F40" s="112" t="n">
        <f aca="false">'DIA_Giả Định'!$P$87</f>
        <v>12000000</v>
      </c>
      <c r="G40" s="112" t="n">
        <f aca="false">F40*'DIA_Giả Định'!$P$5</f>
        <v>144000000</v>
      </c>
      <c r="H40" s="110" t="s">
        <v>117</v>
      </c>
      <c r="I40" s="110" t="s">
        <v>475</v>
      </c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</row>
    <row r="41" customFormat="false" ht="36.75" hidden="false" customHeight="true" outlineLevel="0" collapsed="false">
      <c r="A41" s="110" t="s">
        <v>308</v>
      </c>
      <c r="B41" s="112" t="n">
        <f aca="false">'DIA_Giả Định'!$N$88</f>
        <v>6000000</v>
      </c>
      <c r="C41" s="112" t="n">
        <f aca="false">B41*'DIA_Giả Định'!$N$5</f>
        <v>72000000</v>
      </c>
      <c r="D41" s="112" t="n">
        <f aca="false">'DIA_Giả Định'!$O$88</f>
        <v>7000000</v>
      </c>
      <c r="E41" s="112" t="n">
        <f aca="false">D41*'DIA_Giả Định'!$O$5</f>
        <v>84000000</v>
      </c>
      <c r="F41" s="112" t="n">
        <f aca="false">'DIA_Giả Định'!$P$88</f>
        <v>8000000</v>
      </c>
      <c r="G41" s="112" t="n">
        <f aca="false">F41*'DIA_Giả Định'!$P$5</f>
        <v>96000000</v>
      </c>
      <c r="H41" s="110" t="s">
        <v>117</v>
      </c>
      <c r="I41" s="110" t="s">
        <v>475</v>
      </c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</row>
    <row r="42" customFormat="false" ht="19.5" hidden="false" customHeight="true" outlineLevel="0" collapsed="false">
      <c r="A42" s="115" t="s">
        <v>481</v>
      </c>
      <c r="B42" s="118" t="n">
        <f aca="false">SUM(B26:B41)</f>
        <v>136812500</v>
      </c>
      <c r="C42" s="118" t="n">
        <f aca="false">SUM(C26:C41)</f>
        <v>1641750000</v>
      </c>
      <c r="D42" s="118" t="n">
        <f aca="false">SUM(D26:D41)</f>
        <v>186312500</v>
      </c>
      <c r="E42" s="118" t="n">
        <f aca="false">SUM(E26:E41)</f>
        <v>2235750000</v>
      </c>
      <c r="F42" s="118" t="n">
        <f aca="false">SUM(F26:F41)</f>
        <v>236812500</v>
      </c>
      <c r="G42" s="118" t="n">
        <f aca="false">SUM(G26:G41)</f>
        <v>2841750000</v>
      </c>
      <c r="H42" s="115"/>
      <c r="I42" s="115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</row>
    <row r="43" customFormat="false" ht="13.5" hidden="false" customHeight="true" outlineLevel="0" collapsed="false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</row>
    <row r="44" customFormat="false" ht="13.5" hidden="false" customHeight="true" outlineLevel="0" collapsed="false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</row>
    <row r="45" customFormat="false" ht="19.5" hidden="false" customHeight="true" outlineLevel="0" collapsed="false">
      <c r="A45" s="106" t="s">
        <v>482</v>
      </c>
      <c r="B45" s="106"/>
      <c r="C45" s="106"/>
      <c r="D45" s="106"/>
      <c r="E45" s="106"/>
      <c r="F45" s="106"/>
      <c r="G45" s="106"/>
      <c r="H45" s="106"/>
      <c r="I45" s="106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</row>
    <row r="46" customFormat="false" ht="30" hidden="false" customHeight="true" outlineLevel="0" collapsed="false">
      <c r="A46" s="108" t="s">
        <v>437</v>
      </c>
      <c r="B46" s="108" t="s">
        <v>483</v>
      </c>
      <c r="C46" s="108" t="s">
        <v>84</v>
      </c>
      <c r="D46" s="108" t="s">
        <v>468</v>
      </c>
      <c r="E46" s="108" t="s">
        <v>470</v>
      </c>
      <c r="F46" s="108" t="s">
        <v>472</v>
      </c>
      <c r="G46" s="108" t="s">
        <v>484</v>
      </c>
      <c r="H46" s="108" t="s">
        <v>8</v>
      </c>
      <c r="I46" s="108" t="s">
        <v>81</v>
      </c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</row>
    <row r="47" customFormat="false" ht="54.75" hidden="false" customHeight="true" outlineLevel="0" collapsed="false">
      <c r="A47" s="110" t="s">
        <v>485</v>
      </c>
      <c r="B47" s="110" t="s">
        <v>486</v>
      </c>
      <c r="C47" s="110" t="s">
        <v>487</v>
      </c>
      <c r="D47" s="112" t="n">
        <f aca="false">('DIA_Giả Định'!$N$6*'DIA_Giả Định'!$N$7)*'DIA_Giả Định'!$N$23*'DIA_Giả Định'!$N$45*'DIA_Giả Định'!$N$5</f>
        <v>30240000</v>
      </c>
      <c r="E47" s="112" t="n">
        <f aca="false">('DIA_Giả Định'!$O$6*'DIA_Giả Định'!$O$7)*'DIA_Giả Định'!$O$23*'DIA_Giả Định'!$O$45*'DIA_Giả Định'!$O$5</f>
        <v>51840000</v>
      </c>
      <c r="F47" s="112" t="n">
        <f aca="false">('DIA_Giả Định'!$P$6*'DIA_Giả Định'!$P$7)*'DIA_Giả Định'!$P$23*'DIA_Giả Định'!$P$45*'DIA_Giả Định'!$P$5</f>
        <v>97020000</v>
      </c>
      <c r="G47" s="110" t="s">
        <v>488</v>
      </c>
      <c r="H47" s="110"/>
      <c r="I47" s="110" t="s">
        <v>489</v>
      </c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</row>
    <row r="48" customFormat="false" ht="54.75" hidden="false" customHeight="true" outlineLevel="0" collapsed="false">
      <c r="A48" s="110" t="s">
        <v>490</v>
      </c>
      <c r="B48" s="110" t="s">
        <v>491</v>
      </c>
      <c r="C48" s="110" t="s">
        <v>487</v>
      </c>
      <c r="D48" s="112" t="n">
        <f aca="false">('DIA_Giả Định'!$N$6*'DIA_Giả Định'!$N$7)*'DIA_Giả Định'!$N$46*'DIA_Giả Định'!$N$5</f>
        <v>151200000</v>
      </c>
      <c r="E48" s="112" t="n">
        <f aca="false">('DIA_Giả Định'!$O$6*'DIA_Giả Định'!$O$7)*'DIA_Giả Định'!$O$46*'DIA_Giả Định'!$O$5</f>
        <v>270000000</v>
      </c>
      <c r="F48" s="112" t="n">
        <f aca="false">('DIA_Giả Định'!$P$6*'DIA_Giả Định'!$P$7)*'DIA_Giả Định'!$P$46*'DIA_Giả Định'!$P$5</f>
        <v>508200000</v>
      </c>
      <c r="G48" s="110" t="s">
        <v>488</v>
      </c>
      <c r="H48" s="110"/>
      <c r="I48" s="110" t="s">
        <v>489</v>
      </c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</row>
    <row r="49" customFormat="false" ht="54.75" hidden="false" customHeight="true" outlineLevel="0" collapsed="false">
      <c r="A49" s="110" t="s">
        <v>492</v>
      </c>
      <c r="B49" s="110" t="s">
        <v>493</v>
      </c>
      <c r="C49" s="110" t="s">
        <v>487</v>
      </c>
      <c r="D49" s="112" t="n">
        <f aca="false">('DIA_Giả Định'!$N$6*'DIA_Giả Định'!$N$7)*'DIA_Giả Định'!$N$47*'DIA_Giả Định'!$N$5</f>
        <v>42000000</v>
      </c>
      <c r="E49" s="112" t="n">
        <f aca="false">('DIA_Giả Định'!$O$6*'DIA_Giả Định'!$O$7)*'DIA_Giả Định'!$O$47*'DIA_Giả Định'!$O$5</f>
        <v>81000000</v>
      </c>
      <c r="F49" s="112" t="n">
        <f aca="false">('DIA_Giả Định'!$P$6*'DIA_Giả Định'!$P$7)*'DIA_Giả Định'!$P$47*'DIA_Giả Định'!$P$5</f>
        <v>161700000</v>
      </c>
      <c r="G49" s="110" t="s">
        <v>488</v>
      </c>
      <c r="H49" s="110"/>
      <c r="I49" s="110" t="s">
        <v>489</v>
      </c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</row>
    <row r="50" customFormat="false" ht="54.75" hidden="false" customHeight="true" outlineLevel="0" collapsed="false">
      <c r="A50" s="110" t="s">
        <v>494</v>
      </c>
      <c r="B50" s="110" t="s">
        <v>495</v>
      </c>
      <c r="C50" s="110" t="s">
        <v>487</v>
      </c>
      <c r="D50" s="112" t="n">
        <f aca="false">'DIA_Giá và Doanh Thu'!$F$15*'DIA_Giả Định'!$N$49</f>
        <v>17892000</v>
      </c>
      <c r="E50" s="112" t="n">
        <f aca="false">'DIA_Giá và Doanh Thu'!$G$15*'DIA_Giả Định'!$O$49</f>
        <v>30604046.25</v>
      </c>
      <c r="F50" s="112" t="n">
        <f aca="false">'DIA_Giá và Doanh Thu'!$H$15*'DIA_Giả Định'!$P$49</f>
        <v>56258335.86156</v>
      </c>
      <c r="G50" s="110" t="s">
        <v>488</v>
      </c>
      <c r="H50" s="110"/>
      <c r="I50" s="110" t="s">
        <v>496</v>
      </c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</row>
    <row r="51" customFormat="false" ht="54.75" hidden="false" customHeight="true" outlineLevel="0" collapsed="false">
      <c r="A51" s="110" t="s">
        <v>497</v>
      </c>
      <c r="B51" s="110" t="s">
        <v>498</v>
      </c>
      <c r="C51" s="110" t="s">
        <v>487</v>
      </c>
      <c r="D51" s="112" t="n">
        <f aca="false">('DIA_Giả Định'!$N$6*'DIA_Giả Định'!$N$7)*'DIA_Giả Định'!$N$48*'DIA_Giả Định'!$N$5</f>
        <v>20160000</v>
      </c>
      <c r="E51" s="112" t="n">
        <f aca="false">('DIA_Giả Định'!$O$6*'DIA_Giả Định'!$O$7)*'DIA_Giả Định'!$O$48*'DIA_Giả Định'!$O$5</f>
        <v>40500000</v>
      </c>
      <c r="F51" s="112" t="n">
        <f aca="false">('DIA_Giả Định'!$P$6*'DIA_Giả Định'!$P$7)*'DIA_Giả Định'!$P$48*'DIA_Giả Định'!$P$5</f>
        <v>83160000</v>
      </c>
      <c r="G51" s="110" t="s">
        <v>488</v>
      </c>
      <c r="H51" s="110"/>
      <c r="I51" s="110" t="s">
        <v>489</v>
      </c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</row>
    <row r="52" customFormat="false" ht="54.75" hidden="false" customHeight="true" outlineLevel="0" collapsed="false">
      <c r="A52" s="119" t="s">
        <v>499</v>
      </c>
      <c r="B52" s="110" t="s">
        <v>500</v>
      </c>
      <c r="C52" s="110" t="s">
        <v>487</v>
      </c>
      <c r="D52" s="112" t="n">
        <f aca="false">('DIA_Giả Định'!$N$6*'DIA_Giả Định'!$N$8)*'DIA_Giả Định'!$N$50*'DIA_Giả Định'!$N$5</f>
        <v>134400000</v>
      </c>
      <c r="E52" s="112" t="n">
        <f aca="false">('DIA_Giả Định'!$O$6*'DIA_Giả Định'!$O$8)*'DIA_Giả Định'!$O$50*'DIA_Giả Định'!$O$5</f>
        <v>225000000</v>
      </c>
      <c r="F52" s="112" t="n">
        <f aca="false">('DIA_Giả Định'!$P$6*'DIA_Giả Định'!$P$8)*'DIA_Giả Định'!$P$50*'DIA_Giả Định'!$P$5</f>
        <v>403200000</v>
      </c>
      <c r="G52" s="110" t="s">
        <v>488</v>
      </c>
      <c r="H52" s="110"/>
      <c r="I52" s="110" t="s">
        <v>496</v>
      </c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</row>
    <row r="53" customFormat="false" ht="54.75" hidden="false" customHeight="true" outlineLevel="0" collapsed="false">
      <c r="A53" s="110" t="s">
        <v>501</v>
      </c>
      <c r="B53" s="110" t="s">
        <v>502</v>
      </c>
      <c r="C53" s="110" t="s">
        <v>487</v>
      </c>
      <c r="D53" s="112" t="n">
        <f aca="false">'DIA_Giả Định'!$N$27*'DIA_Giả Định'!$N$39+'DIA_Giả Định'!$N$28*'DIA_Giả Định'!$N$40</f>
        <v>110000000</v>
      </c>
      <c r="E53" s="112" t="n">
        <f aca="false">'DIA_Giả Định'!$O$27*'DIA_Giả Định'!$O$39+'DIA_Giả Định'!$O$28*'DIA_Giả Định'!$O$40</f>
        <v>190000000</v>
      </c>
      <c r="F53" s="112" t="n">
        <f aca="false">'DIA_Giả Định'!$P$27*'DIA_Giả Định'!$P$39+'DIA_Giả Định'!$P$28*'DIA_Giả Định'!$P$40</f>
        <v>350000000</v>
      </c>
      <c r="G53" s="110" t="s">
        <v>488</v>
      </c>
      <c r="H53" s="110"/>
      <c r="I53" s="110" t="s">
        <v>503</v>
      </c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</row>
    <row r="54" customFormat="false" ht="54.75" hidden="false" customHeight="true" outlineLevel="0" collapsed="false">
      <c r="A54" s="110" t="s">
        <v>504</v>
      </c>
      <c r="B54" s="110" t="s">
        <v>505</v>
      </c>
      <c r="C54" s="110" t="s">
        <v>487</v>
      </c>
      <c r="D54" s="112" t="n">
        <f aca="false">('DIA_Giá và Doanh Thu'!$F$16+'DIA_Giá và Doanh Thu'!$F$18+'DIA_Giá và Doanh Thu'!$F$19)*'DIA_Giả Định'!$N$53</f>
        <v>10938500</v>
      </c>
      <c r="E54" s="112" t="n">
        <f aca="false">('DIA_Giá và Doanh Thu'!$G$16+'DIA_Giá và Doanh Thu'!$G$18+'DIA_Giá và Doanh Thu'!$G$19)*'DIA_Giả Định'!$O$53</f>
        <v>35255251.8</v>
      </c>
      <c r="F54" s="112" t="n">
        <f aca="false">('DIA_Giá và Doanh Thu'!$H$16+'DIA_Giá và Doanh Thu'!$H$18+'DIA_Giá và Doanh Thu'!$H$19)*'DIA_Giả Định'!$P$53</f>
        <v>83042082.78365</v>
      </c>
      <c r="G54" s="110" t="s">
        <v>488</v>
      </c>
      <c r="H54" s="110"/>
      <c r="I54" s="110" t="s">
        <v>503</v>
      </c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</row>
    <row r="55" customFormat="false" ht="54.75" hidden="false" customHeight="true" outlineLevel="0" collapsed="false">
      <c r="A55" s="110" t="s">
        <v>236</v>
      </c>
      <c r="B55" s="110" t="s">
        <v>506</v>
      </c>
      <c r="C55" s="110" t="s">
        <v>487</v>
      </c>
      <c r="D55" s="112" t="n">
        <f aca="false">'DIA_Giá và Doanh Thu'!$F$20*'DIA_Giả Định'!$N$55</f>
        <v>14916750</v>
      </c>
      <c r="E55" s="112" t="n">
        <f aca="false">'DIA_Giá và Doanh Thu'!$G$20*'DIA_Giả Định'!$O$55</f>
        <v>30289003.29</v>
      </c>
      <c r="F55" s="112" t="n">
        <f aca="false">'DIA_Giá và Doanh Thu'!$H$20*'DIA_Giả Định'!$P$55</f>
        <v>60917626.352031</v>
      </c>
      <c r="G55" s="110" t="s">
        <v>488</v>
      </c>
      <c r="H55" s="110"/>
      <c r="I55" s="110" t="s">
        <v>507</v>
      </c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</row>
    <row r="56" customFormat="false" ht="54.75" hidden="false" customHeight="true" outlineLevel="0" collapsed="false">
      <c r="A56" s="110" t="s">
        <v>508</v>
      </c>
      <c r="B56" s="110" t="s">
        <v>509</v>
      </c>
      <c r="C56" s="110" t="s">
        <v>487</v>
      </c>
      <c r="D56" s="112" t="n">
        <f aca="false">('DIA_Giá và Doanh Thu'!$G$7)*'DIA_Giả Định'!$N$54*'DIA_Giả Định'!$N$5</f>
        <v>6600000</v>
      </c>
      <c r="E56" s="112" t="n">
        <f aca="false">('DIA_Giá và Doanh Thu'!$H$7)*'DIA_Giả Định'!$O$54*'DIA_Giả Định'!$O$5</f>
        <v>31200000</v>
      </c>
      <c r="F56" s="112" t="n">
        <f aca="false">('DIA_Giá và Doanh Thu'!$I$7)*'DIA_Giả Định'!$P$54*'DIA_Giả Định'!$P$5</f>
        <v>90000000</v>
      </c>
      <c r="G56" s="110" t="s">
        <v>488</v>
      </c>
      <c r="H56" s="110"/>
      <c r="I56" s="110" t="s">
        <v>503</v>
      </c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</row>
    <row r="57" customFormat="false" ht="54.75" hidden="false" customHeight="true" outlineLevel="0" collapsed="false">
      <c r="A57" s="110" t="s">
        <v>510</v>
      </c>
      <c r="B57" s="110" t="s">
        <v>511</v>
      </c>
      <c r="C57" s="110" t="s">
        <v>487</v>
      </c>
      <c r="D57" s="112" t="n">
        <f aca="false">('DIA_Giả Định'!$N$6*'DIA_Giả Định'!$N$8)*'DIA_Giả Định'!$N$56*'DIA_Giả Định'!$N$57</f>
        <v>16000000</v>
      </c>
      <c r="E57" s="112" t="n">
        <f aca="false">('DIA_Giả Định'!$O$6*'DIA_Giả Định'!$O$8)*'DIA_Giả Định'!$O$56*'DIA_Giả Định'!$O$57</f>
        <v>40000000</v>
      </c>
      <c r="F57" s="112" t="n">
        <f aca="false">('DIA_Giả Định'!$P$6*'DIA_Giả Định'!$P$8)*'DIA_Giả Định'!$P$56*'DIA_Giả Định'!$P$57</f>
        <v>84000000</v>
      </c>
      <c r="G57" s="110" t="s">
        <v>488</v>
      </c>
      <c r="H57" s="110"/>
      <c r="I57" s="110" t="s">
        <v>496</v>
      </c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</row>
    <row r="58" customFormat="false" ht="19.5" hidden="false" customHeight="true" outlineLevel="0" collapsed="false">
      <c r="A58" s="115" t="s">
        <v>512</v>
      </c>
      <c r="B58" s="115"/>
      <c r="C58" s="115"/>
      <c r="D58" s="118" t="n">
        <f aca="false">SUM(D47:D57)</f>
        <v>554347250</v>
      </c>
      <c r="E58" s="118" t="n">
        <f aca="false">SUM(E47:E57)</f>
        <v>1025688301.34</v>
      </c>
      <c r="F58" s="118" t="n">
        <f aca="false">SUM(F47:F57)</f>
        <v>1977498044.99724</v>
      </c>
      <c r="G58" s="115"/>
      <c r="H58" s="115"/>
      <c r="I58" s="115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</row>
    <row r="59" customFormat="false" ht="13.5" hidden="false" customHeight="true" outlineLevel="0" collapsed="false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</row>
    <row r="60" customFormat="false" ht="13.5" hidden="false" customHeight="true" outlineLevel="0" collapsed="false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</row>
    <row r="61" customFormat="false" ht="19.5" hidden="false" customHeight="true" outlineLevel="0" collapsed="false">
      <c r="A61" s="106" t="s">
        <v>513</v>
      </c>
      <c r="B61" s="106"/>
      <c r="C61" s="106"/>
      <c r="D61" s="106"/>
      <c r="E61" s="106"/>
      <c r="F61" s="106"/>
      <c r="G61" s="106"/>
      <c r="H61" s="106"/>
      <c r="I61" s="106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 customFormat="false" ht="19.5" hidden="false" customHeight="true" outlineLevel="0" collapsed="false">
      <c r="A62" s="110" t="s">
        <v>514</v>
      </c>
      <c r="B62" s="110"/>
      <c r="C62" s="110"/>
      <c r="D62" s="120" t="n">
        <f aca="false">D21</f>
        <v>1755250000</v>
      </c>
      <c r="E62" s="120"/>
      <c r="F62" s="120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customFormat="false" ht="36.75" hidden="false" customHeight="true" outlineLevel="0" collapsed="false">
      <c r="A63" s="110" t="s">
        <v>515</v>
      </c>
      <c r="B63" s="110"/>
      <c r="C63" s="110"/>
      <c r="D63" s="120" t="n">
        <f aca="false">C42</f>
        <v>1641750000</v>
      </c>
      <c r="E63" s="120" t="n">
        <f aca="false">E42</f>
        <v>2235750000</v>
      </c>
      <c r="F63" s="120" t="n">
        <f aca="false">G42</f>
        <v>2841750000</v>
      </c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</row>
    <row r="64" customFormat="false" ht="36.75" hidden="false" customHeight="true" outlineLevel="0" collapsed="false">
      <c r="A64" s="110" t="s">
        <v>516</v>
      </c>
      <c r="B64" s="110"/>
      <c r="C64" s="110"/>
      <c r="D64" s="120" t="n">
        <f aca="false">D58</f>
        <v>554347250</v>
      </c>
      <c r="E64" s="120" t="n">
        <f aca="false">E58</f>
        <v>1025688301.34</v>
      </c>
      <c r="F64" s="120" t="n">
        <f aca="false">F58</f>
        <v>1977498044.99724</v>
      </c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</row>
    <row r="65" customFormat="false" ht="36.75" hidden="false" customHeight="true" outlineLevel="0" collapsed="false">
      <c r="A65" s="121" t="s">
        <v>517</v>
      </c>
      <c r="B65" s="121"/>
      <c r="C65" s="121"/>
      <c r="D65" s="122" t="n">
        <f aca="false">D63+D64</f>
        <v>2196097250</v>
      </c>
      <c r="E65" s="122" t="n">
        <f aca="false">E63+E64</f>
        <v>3261438301.34</v>
      </c>
      <c r="F65" s="122" t="n">
        <f aca="false">F63+F64</f>
        <v>4819248044.99724</v>
      </c>
      <c r="G65" s="123"/>
      <c r="H65" s="123"/>
      <c r="I65" s="12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</row>
    <row r="66" customFormat="false" ht="13.5" hidden="false" customHeight="true" outlineLevel="0" collapsed="false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</row>
    <row r="67" customFormat="false" ht="13.5" hidden="false" customHeight="true" outlineLevel="0" collapsed="false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</row>
    <row r="68" customFormat="false" ht="13.5" hidden="false" customHeight="true" outlineLevel="0" collapsed="false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</row>
    <row r="69" customFormat="false" ht="13.5" hidden="false" customHeight="true" outlineLevel="0" collapsed="false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</row>
    <row r="70" customFormat="false" ht="13.5" hidden="false" customHeight="true" outlineLevel="0" collapsed="false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</row>
    <row r="71" customFormat="false" ht="13.5" hidden="false" customHeight="true" outlineLevel="0" collapsed="false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</row>
    <row r="72" customFormat="false" ht="13.5" hidden="false" customHeight="true" outlineLevel="0" collapsed="false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</row>
    <row r="73" customFormat="false" ht="13.5" hidden="false" customHeight="true" outlineLevel="0" collapsed="false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</row>
    <row r="74" customFormat="false" ht="13.5" hidden="false" customHeight="true" outlineLevel="0" collapsed="false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</row>
    <row r="75" customFormat="false" ht="13.5" hidden="false" customHeight="true" outlineLevel="0" collapsed="false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</row>
    <row r="76" customFormat="false" ht="13.5" hidden="false" customHeight="true" outlineLevel="0" collapsed="false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</row>
    <row r="77" customFormat="false" ht="13.5" hidden="false" customHeight="true" outlineLevel="0" collapsed="false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</row>
    <row r="78" customFormat="false" ht="13.5" hidden="false" customHeight="true" outlineLevel="0" collapsed="false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</row>
    <row r="79" customFormat="false" ht="13.5" hidden="false" customHeight="true" outlineLevel="0" collapsed="false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</row>
    <row r="80" customFormat="false" ht="13.5" hidden="false" customHeight="true" outlineLevel="0" collapsed="false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</row>
    <row r="81" customFormat="false" ht="13.5" hidden="false" customHeight="true" outlineLevel="0" collapsed="false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</row>
    <row r="82" customFormat="false" ht="13.5" hidden="false" customHeight="true" outlineLevel="0" collapsed="false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</row>
    <row r="83" customFormat="false" ht="13.5" hidden="false" customHeight="true" outlineLevel="0" collapsed="false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</row>
    <row r="84" customFormat="false" ht="13.5" hidden="false" customHeight="true" outlineLevel="0" collapsed="false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</row>
    <row r="85" customFormat="false" ht="13.5" hidden="false" customHeight="true" outlineLevel="0" collapsed="false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</row>
    <row r="86" customFormat="false" ht="13.5" hidden="false" customHeight="true" outlineLevel="0" collapsed="false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</row>
    <row r="87" customFormat="false" ht="13.5" hidden="false" customHeight="true" outlineLevel="0" collapsed="false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</row>
    <row r="88" customFormat="false" ht="13.5" hidden="false" customHeight="true" outlineLevel="0" collapsed="false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</row>
    <row r="89" customFormat="false" ht="13.5" hidden="false" customHeight="true" outlineLevel="0" collapsed="false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</row>
    <row r="90" customFormat="false" ht="13.5" hidden="false" customHeight="true" outlineLevel="0" collapsed="false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</row>
    <row r="91" customFormat="false" ht="13.5" hidden="false" customHeight="true" outlineLevel="0" collapsed="false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</row>
    <row r="92" customFormat="false" ht="13.5" hidden="false" customHeight="true" outlineLevel="0" collapsed="false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</row>
    <row r="93" customFormat="false" ht="13.5" hidden="false" customHeight="true" outlineLevel="0" collapsed="false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</row>
    <row r="94" customFormat="false" ht="13.5" hidden="false" customHeight="true" outlineLevel="0" collapsed="false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</row>
    <row r="95" customFormat="false" ht="13.5" hidden="false" customHeight="true" outlineLevel="0" collapsed="false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</row>
    <row r="96" customFormat="false" ht="13.5" hidden="false" customHeight="true" outlineLevel="0" collapsed="false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</row>
    <row r="97" customFormat="false" ht="13.5" hidden="false" customHeight="true" outlineLevel="0" collapsed="false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</row>
    <row r="98" customFormat="false" ht="13.5" hidden="false" customHeight="true" outlineLevel="0" collapsed="false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</row>
    <row r="99" customFormat="false" ht="13.5" hidden="false" customHeight="true" outlineLevel="0" collapsed="false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</row>
    <row r="100" customFormat="false" ht="13.5" hidden="false" customHeight="true" outlineLevel="0" collapsed="false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</row>
    <row r="101" customFormat="false" ht="13.5" hidden="false" customHeight="true" outlineLevel="0" collapsed="false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</row>
    <row r="102" customFormat="false" ht="13.5" hidden="false" customHeight="true" outlineLevel="0" collapsed="false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</row>
    <row r="103" customFormat="false" ht="13.5" hidden="false" customHeight="true" outlineLevel="0" collapsed="false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</row>
    <row r="104" customFormat="false" ht="13.5" hidden="false" customHeight="true" outlineLevel="0" collapsed="false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</row>
    <row r="105" customFormat="false" ht="13.5" hidden="false" customHeight="true" outlineLevel="0" collapsed="false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</row>
    <row r="106" customFormat="false" ht="13.5" hidden="false" customHeight="true" outlineLevel="0" collapsed="false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</row>
    <row r="107" customFormat="false" ht="13.5" hidden="false" customHeight="true" outlineLevel="0" collapsed="false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</row>
    <row r="108" customFormat="false" ht="13.5" hidden="false" customHeight="true" outlineLevel="0" collapsed="false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</row>
    <row r="109" customFormat="false" ht="13.5" hidden="false" customHeight="true" outlineLevel="0" collapsed="false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</row>
    <row r="110" customFormat="false" ht="13.5" hidden="false" customHeight="true" outlineLevel="0" collapsed="false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</row>
    <row r="111" customFormat="false" ht="13.5" hidden="false" customHeight="true" outlineLevel="0" collapsed="false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</row>
    <row r="112" customFormat="false" ht="13.5" hidden="false" customHeight="true" outlineLevel="0" collapsed="false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</row>
    <row r="113" customFormat="false" ht="13.5" hidden="false" customHeight="true" outlineLevel="0" collapsed="false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</row>
    <row r="114" customFormat="false" ht="13.5" hidden="false" customHeight="true" outlineLevel="0" collapsed="false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</row>
    <row r="115" customFormat="false" ht="13.5" hidden="false" customHeight="true" outlineLevel="0" collapsed="false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</row>
    <row r="116" customFormat="false" ht="13.5" hidden="false" customHeight="true" outlineLevel="0" collapsed="false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</row>
    <row r="117" customFormat="false" ht="13.5" hidden="false" customHeight="true" outlineLevel="0" collapsed="false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</row>
    <row r="118" customFormat="false" ht="13.5" hidden="false" customHeight="true" outlineLevel="0" collapsed="false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</row>
    <row r="119" customFormat="false" ht="13.5" hidden="false" customHeight="true" outlineLevel="0" collapsed="false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</row>
    <row r="120" customFormat="false" ht="13.5" hidden="false" customHeight="true" outlineLevel="0" collapsed="false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</row>
    <row r="121" customFormat="false" ht="13.5" hidden="false" customHeight="true" outlineLevel="0" collapsed="false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</row>
    <row r="122" customFormat="false" ht="13.5" hidden="false" customHeight="true" outlineLevel="0" collapsed="false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</row>
    <row r="123" customFormat="false" ht="13.5" hidden="false" customHeight="true" outlineLevel="0" collapsed="false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</row>
    <row r="124" customFormat="false" ht="13.5" hidden="false" customHeight="true" outlineLevel="0" collapsed="false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</row>
    <row r="125" customFormat="false" ht="13.5" hidden="false" customHeight="true" outlineLevel="0" collapsed="false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</row>
    <row r="126" customFormat="false" ht="13.5" hidden="false" customHeight="true" outlineLevel="0" collapsed="false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</row>
    <row r="127" customFormat="false" ht="13.5" hidden="false" customHeight="true" outlineLevel="0" collapsed="false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</row>
    <row r="128" customFormat="false" ht="13.5" hidden="false" customHeight="true" outlineLevel="0" collapsed="false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</row>
    <row r="129" customFormat="false" ht="13.5" hidden="false" customHeight="true" outlineLevel="0" collapsed="false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</row>
    <row r="130" customFormat="false" ht="13.5" hidden="false" customHeight="true" outlineLevel="0" collapsed="false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</row>
    <row r="131" customFormat="false" ht="13.5" hidden="false" customHeight="true" outlineLevel="0" collapsed="false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</row>
    <row r="132" customFormat="false" ht="13.5" hidden="false" customHeight="true" outlineLevel="0" collapsed="false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</row>
    <row r="133" customFormat="false" ht="13.5" hidden="false" customHeight="true" outlineLevel="0" collapsed="false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</row>
    <row r="134" customFormat="false" ht="13.5" hidden="false" customHeight="true" outlineLevel="0" collapsed="false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</row>
    <row r="135" customFormat="false" ht="13.5" hidden="false" customHeight="true" outlineLevel="0" collapsed="false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</row>
    <row r="136" customFormat="false" ht="13.5" hidden="false" customHeight="true" outlineLevel="0" collapsed="false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</row>
    <row r="137" customFormat="false" ht="13.5" hidden="false" customHeight="true" outlineLevel="0" collapsed="false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</row>
    <row r="138" customFormat="false" ht="13.5" hidden="false" customHeight="true" outlineLevel="0" collapsed="false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</row>
    <row r="139" customFormat="false" ht="13.5" hidden="false" customHeight="true" outlineLevel="0" collapsed="false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</row>
    <row r="140" customFormat="false" ht="13.5" hidden="false" customHeight="true" outlineLevel="0" collapsed="false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</row>
    <row r="141" customFormat="false" ht="13.5" hidden="false" customHeight="true" outlineLevel="0" collapsed="false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</row>
    <row r="142" customFormat="false" ht="13.5" hidden="false" customHeight="true" outlineLevel="0" collapsed="false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</row>
    <row r="143" customFormat="false" ht="13.5" hidden="false" customHeight="true" outlineLevel="0" collapsed="false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</row>
    <row r="144" customFormat="false" ht="13.5" hidden="false" customHeight="true" outlineLevel="0" collapsed="false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</row>
    <row r="145" customFormat="false" ht="13.5" hidden="false" customHeight="true" outlineLevel="0" collapsed="false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</row>
    <row r="146" customFormat="false" ht="13.5" hidden="false" customHeight="true" outlineLevel="0" collapsed="false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</row>
    <row r="147" customFormat="false" ht="13.5" hidden="false" customHeight="true" outlineLevel="0" collapsed="false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</row>
    <row r="148" customFormat="false" ht="13.5" hidden="false" customHeight="true" outlineLevel="0" collapsed="false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</row>
    <row r="149" customFormat="false" ht="13.5" hidden="false" customHeight="true" outlineLevel="0" collapsed="false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</row>
    <row r="150" customFormat="false" ht="13.5" hidden="false" customHeight="true" outlineLevel="0" collapsed="false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</row>
    <row r="151" customFormat="false" ht="13.5" hidden="false" customHeight="true" outlineLevel="0" collapsed="false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</row>
    <row r="152" customFormat="false" ht="13.5" hidden="false" customHeight="true" outlineLevel="0" collapsed="false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</row>
    <row r="153" customFormat="false" ht="13.5" hidden="false" customHeight="true" outlineLevel="0" collapsed="false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</row>
    <row r="154" customFormat="false" ht="13.5" hidden="false" customHeight="true" outlineLevel="0" collapsed="false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</row>
    <row r="155" customFormat="false" ht="13.5" hidden="false" customHeight="true" outlineLevel="0" collapsed="false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</row>
    <row r="156" customFormat="false" ht="13.5" hidden="false" customHeight="true" outlineLevel="0" collapsed="false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</row>
    <row r="157" customFormat="false" ht="13.5" hidden="false" customHeight="true" outlineLevel="0" collapsed="false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</row>
    <row r="158" customFormat="false" ht="13.5" hidden="false" customHeight="true" outlineLevel="0" collapsed="false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</row>
    <row r="159" customFormat="false" ht="13.5" hidden="false" customHeight="true" outlineLevel="0" collapsed="false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</row>
    <row r="160" customFormat="false" ht="13.5" hidden="false" customHeight="true" outlineLevel="0" collapsed="false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</row>
    <row r="161" customFormat="false" ht="13.5" hidden="false" customHeight="true" outlineLevel="0" collapsed="false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</row>
    <row r="162" customFormat="false" ht="13.5" hidden="false" customHeight="true" outlineLevel="0" collapsed="false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</row>
    <row r="163" customFormat="false" ht="13.5" hidden="false" customHeight="true" outlineLevel="0" collapsed="false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</row>
    <row r="164" customFormat="false" ht="13.5" hidden="false" customHeight="true" outlineLevel="0" collapsed="false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</row>
    <row r="165" customFormat="false" ht="13.5" hidden="false" customHeight="true" outlineLevel="0" collapsed="false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</row>
    <row r="166" customFormat="false" ht="13.5" hidden="false" customHeight="true" outlineLevel="0" collapsed="false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</row>
    <row r="167" customFormat="false" ht="13.5" hidden="false" customHeight="true" outlineLevel="0" collapsed="false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</row>
    <row r="168" customFormat="false" ht="13.5" hidden="false" customHeight="true" outlineLevel="0" collapsed="false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</row>
    <row r="169" customFormat="false" ht="13.5" hidden="false" customHeight="true" outlineLevel="0" collapsed="false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</row>
    <row r="170" customFormat="false" ht="13.5" hidden="false" customHeight="true" outlineLevel="0" collapsed="false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</row>
    <row r="171" customFormat="false" ht="13.5" hidden="false" customHeight="true" outlineLevel="0" collapsed="false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</row>
    <row r="172" customFormat="false" ht="13.5" hidden="false" customHeight="true" outlineLevel="0" collapsed="false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</row>
    <row r="173" customFormat="false" ht="13.5" hidden="false" customHeight="true" outlineLevel="0" collapsed="false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</row>
    <row r="174" customFormat="false" ht="13.5" hidden="false" customHeight="true" outlineLevel="0" collapsed="false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</row>
    <row r="175" customFormat="false" ht="13.5" hidden="false" customHeight="true" outlineLevel="0" collapsed="false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</row>
    <row r="176" customFormat="false" ht="13.5" hidden="false" customHeight="true" outlineLevel="0" collapsed="false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</row>
    <row r="177" customFormat="false" ht="13.5" hidden="false" customHeight="true" outlineLevel="0" collapsed="false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</row>
    <row r="178" customFormat="false" ht="13.5" hidden="false" customHeight="true" outlineLevel="0" collapsed="false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</row>
    <row r="179" customFormat="false" ht="13.5" hidden="false" customHeight="true" outlineLevel="0" collapsed="false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</row>
    <row r="180" customFormat="false" ht="13.5" hidden="false" customHeight="true" outlineLevel="0" collapsed="false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</row>
    <row r="181" customFormat="false" ht="13.5" hidden="false" customHeight="true" outlineLevel="0" collapsed="false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</row>
    <row r="182" customFormat="false" ht="13.5" hidden="false" customHeight="true" outlineLevel="0" collapsed="false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</row>
    <row r="183" customFormat="false" ht="13.5" hidden="false" customHeight="true" outlineLevel="0" collapsed="false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</row>
    <row r="184" customFormat="false" ht="13.5" hidden="false" customHeight="true" outlineLevel="0" collapsed="false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</row>
    <row r="185" customFormat="false" ht="13.5" hidden="false" customHeight="true" outlineLevel="0" collapsed="false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</row>
    <row r="186" customFormat="false" ht="13.5" hidden="false" customHeight="true" outlineLevel="0" collapsed="false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</row>
    <row r="187" customFormat="false" ht="13.5" hidden="false" customHeight="true" outlineLevel="0" collapsed="false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</row>
    <row r="188" customFormat="false" ht="13.5" hidden="false" customHeight="true" outlineLevel="0" collapsed="false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</row>
    <row r="189" customFormat="false" ht="13.5" hidden="false" customHeight="true" outlineLevel="0" collapsed="false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</row>
    <row r="190" customFormat="false" ht="13.5" hidden="false" customHeight="true" outlineLevel="0" collapsed="false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</row>
    <row r="191" customFormat="false" ht="13.5" hidden="false" customHeight="true" outlineLevel="0" collapsed="false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</row>
    <row r="192" customFormat="false" ht="13.5" hidden="false" customHeight="true" outlineLevel="0" collapsed="false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</row>
    <row r="193" customFormat="false" ht="13.5" hidden="false" customHeight="true" outlineLevel="0" collapsed="false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</row>
    <row r="194" customFormat="false" ht="13.5" hidden="false" customHeight="true" outlineLevel="0" collapsed="false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</row>
    <row r="195" customFormat="false" ht="13.5" hidden="false" customHeight="true" outlineLevel="0" collapsed="false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</row>
    <row r="196" customFormat="false" ht="13.5" hidden="false" customHeight="true" outlineLevel="0" collapsed="false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</row>
    <row r="197" customFormat="false" ht="13.5" hidden="false" customHeight="true" outlineLevel="0" collapsed="false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</row>
    <row r="198" customFormat="false" ht="13.5" hidden="false" customHeight="true" outlineLevel="0" collapsed="false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</row>
    <row r="199" customFormat="false" ht="13.5" hidden="false" customHeight="true" outlineLevel="0" collapsed="false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</row>
    <row r="200" customFormat="false" ht="13.5" hidden="false" customHeight="true" outlineLevel="0" collapsed="false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</row>
    <row r="201" customFormat="false" ht="13.5" hidden="false" customHeight="true" outlineLevel="0" collapsed="false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</row>
    <row r="202" customFormat="false" ht="13.5" hidden="false" customHeight="true" outlineLevel="0" collapsed="false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</row>
    <row r="203" customFormat="false" ht="13.5" hidden="false" customHeight="true" outlineLevel="0" collapsed="false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</row>
    <row r="204" customFormat="false" ht="13.5" hidden="false" customHeight="true" outlineLevel="0" collapsed="false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</row>
    <row r="205" customFormat="false" ht="13.5" hidden="false" customHeight="true" outlineLevel="0" collapsed="false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</row>
    <row r="206" customFormat="false" ht="13.5" hidden="false" customHeight="true" outlineLevel="0" collapsed="false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</row>
    <row r="207" customFormat="false" ht="13.5" hidden="false" customHeight="true" outlineLevel="0" collapsed="false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</row>
    <row r="208" customFormat="false" ht="13.5" hidden="false" customHeight="true" outlineLevel="0" collapsed="false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</row>
    <row r="209" customFormat="false" ht="13.5" hidden="false" customHeight="true" outlineLevel="0" collapsed="false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</row>
    <row r="210" customFormat="false" ht="13.5" hidden="false" customHeight="true" outlineLevel="0" collapsed="false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</row>
    <row r="211" customFormat="false" ht="13.5" hidden="false" customHeight="true" outlineLevel="0" collapsed="false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</row>
    <row r="212" customFormat="false" ht="13.5" hidden="false" customHeight="true" outlineLevel="0" collapsed="false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</row>
    <row r="213" customFormat="false" ht="13.5" hidden="false" customHeight="true" outlineLevel="0" collapsed="false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</row>
    <row r="214" customFormat="false" ht="13.5" hidden="false" customHeight="true" outlineLevel="0" collapsed="false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</row>
    <row r="215" customFormat="false" ht="13.5" hidden="false" customHeight="true" outlineLevel="0" collapsed="false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</row>
    <row r="216" customFormat="false" ht="13.5" hidden="false" customHeight="true" outlineLevel="0" collapsed="false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</row>
    <row r="217" customFormat="false" ht="13.5" hidden="false" customHeight="true" outlineLevel="0" collapsed="false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</row>
    <row r="218" customFormat="false" ht="13.5" hidden="false" customHeight="true" outlineLevel="0" collapsed="false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</row>
    <row r="219" customFormat="false" ht="13.5" hidden="false" customHeight="true" outlineLevel="0" collapsed="false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</row>
    <row r="220" customFormat="false" ht="13.5" hidden="false" customHeight="true" outlineLevel="0" collapsed="false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</row>
    <row r="221" customFormat="false" ht="13.5" hidden="false" customHeight="true" outlineLevel="0" collapsed="false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</row>
    <row r="222" customFormat="false" ht="13.5" hidden="false" customHeight="true" outlineLevel="0" collapsed="false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</row>
    <row r="223" customFormat="false" ht="13.5" hidden="false" customHeight="true" outlineLevel="0" collapsed="false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</row>
    <row r="224" customFormat="false" ht="13.5" hidden="false" customHeight="true" outlineLevel="0" collapsed="false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</row>
    <row r="225" customFormat="false" ht="13.5" hidden="false" customHeight="true" outlineLevel="0" collapsed="false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</row>
    <row r="226" customFormat="false" ht="13.5" hidden="false" customHeight="true" outlineLevel="0" collapsed="false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</row>
    <row r="227" customFormat="false" ht="13.5" hidden="false" customHeight="true" outlineLevel="0" collapsed="false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</row>
    <row r="228" customFormat="false" ht="13.5" hidden="false" customHeight="true" outlineLevel="0" collapsed="false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</row>
    <row r="229" customFormat="false" ht="13.5" hidden="false" customHeight="true" outlineLevel="0" collapsed="false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</row>
    <row r="230" customFormat="false" ht="13.5" hidden="false" customHeight="true" outlineLevel="0" collapsed="false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</row>
    <row r="231" customFormat="false" ht="13.5" hidden="false" customHeight="true" outlineLevel="0" collapsed="false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</row>
    <row r="232" customFormat="false" ht="13.5" hidden="false" customHeight="true" outlineLevel="0" collapsed="false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</row>
    <row r="233" customFormat="false" ht="13.5" hidden="false" customHeight="true" outlineLevel="0" collapsed="false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</row>
    <row r="234" customFormat="false" ht="13.5" hidden="false" customHeight="true" outlineLevel="0" collapsed="false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</row>
    <row r="235" customFormat="false" ht="13.5" hidden="false" customHeight="true" outlineLevel="0" collapsed="false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</row>
    <row r="236" customFormat="false" ht="13.5" hidden="false" customHeight="true" outlineLevel="0" collapsed="false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</row>
    <row r="237" customFormat="false" ht="13.5" hidden="false" customHeight="true" outlineLevel="0" collapsed="false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</row>
    <row r="238" customFormat="false" ht="13.5" hidden="false" customHeight="true" outlineLevel="0" collapsed="false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</row>
    <row r="239" customFormat="false" ht="13.5" hidden="false" customHeight="true" outlineLevel="0" collapsed="false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</row>
    <row r="240" customFormat="false" ht="13.5" hidden="false" customHeight="true" outlineLevel="0" collapsed="false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</row>
    <row r="241" customFormat="false" ht="13.5" hidden="false" customHeight="true" outlineLevel="0" collapsed="false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</row>
    <row r="242" customFormat="false" ht="13.5" hidden="false" customHeight="true" outlineLevel="0" collapsed="false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</row>
    <row r="243" customFormat="false" ht="13.5" hidden="false" customHeight="true" outlineLevel="0" collapsed="false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</row>
    <row r="244" customFormat="false" ht="13.5" hidden="false" customHeight="true" outlineLevel="0" collapsed="false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</row>
    <row r="245" customFormat="false" ht="13.5" hidden="false" customHeight="true" outlineLevel="0" collapsed="false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</row>
    <row r="246" customFormat="false" ht="13.5" hidden="false" customHeight="true" outlineLevel="0" collapsed="false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</row>
    <row r="247" customFormat="false" ht="13.5" hidden="false" customHeight="true" outlineLevel="0" collapsed="false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</row>
    <row r="248" customFormat="false" ht="13.5" hidden="false" customHeight="true" outlineLevel="0" collapsed="false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</row>
    <row r="249" customFormat="false" ht="13.5" hidden="false" customHeight="true" outlineLevel="0" collapsed="false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</row>
    <row r="250" customFormat="false" ht="13.5" hidden="false" customHeight="true" outlineLevel="0" collapsed="false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</row>
    <row r="251" customFormat="false" ht="13.5" hidden="false" customHeight="true" outlineLevel="0" collapsed="false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</row>
    <row r="252" customFormat="false" ht="13.5" hidden="false" customHeight="true" outlineLevel="0" collapsed="false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</row>
    <row r="253" customFormat="false" ht="13.5" hidden="false" customHeight="true" outlineLevel="0" collapsed="false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</row>
    <row r="254" customFormat="false" ht="13.5" hidden="false" customHeight="true" outlineLevel="0" collapsed="false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</row>
    <row r="255" customFormat="false" ht="13.5" hidden="false" customHeight="true" outlineLevel="0" collapsed="false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</row>
    <row r="256" customFormat="false" ht="13.5" hidden="false" customHeight="true" outlineLevel="0" collapsed="false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</row>
    <row r="257" customFormat="false" ht="13.5" hidden="false" customHeight="true" outlineLevel="0" collapsed="false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</row>
    <row r="258" customFormat="false" ht="13.5" hidden="false" customHeight="true" outlineLevel="0" collapsed="false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</row>
    <row r="259" customFormat="false" ht="13.5" hidden="false" customHeight="true" outlineLevel="0" collapsed="false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</row>
    <row r="260" customFormat="false" ht="13.5" hidden="false" customHeight="true" outlineLevel="0" collapsed="false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</row>
    <row r="261" customFormat="false" ht="13.5" hidden="false" customHeight="true" outlineLevel="0" collapsed="false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</row>
    <row r="262" customFormat="false" ht="13.5" hidden="false" customHeight="true" outlineLevel="0" collapsed="false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</row>
    <row r="263" customFormat="false" ht="13.5" hidden="false" customHeight="true" outlineLevel="0" collapsed="false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</row>
    <row r="264" customFormat="false" ht="13.5" hidden="false" customHeight="true" outlineLevel="0" collapsed="false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</row>
    <row r="265" customFormat="false" ht="13.5" hidden="false" customHeight="true" outlineLevel="0" collapsed="false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</row>
    <row r="266" customFormat="false" ht="13.5" hidden="false" customHeight="true" outlineLevel="0" collapsed="false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</row>
    <row r="267" customFormat="false" ht="13.5" hidden="false" customHeight="true" outlineLevel="0" collapsed="false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</row>
    <row r="268" customFormat="false" ht="13.5" hidden="false" customHeight="true" outlineLevel="0" collapsed="false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</row>
    <row r="269" customFormat="false" ht="13.5" hidden="false" customHeight="true" outlineLevel="0" collapsed="false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</row>
    <row r="270" customFormat="false" ht="13.5" hidden="false" customHeight="true" outlineLevel="0" collapsed="false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</row>
    <row r="271" customFormat="false" ht="13.5" hidden="false" customHeight="true" outlineLevel="0" collapsed="false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</row>
    <row r="272" customFormat="false" ht="13.5" hidden="false" customHeight="true" outlineLevel="0" collapsed="false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</row>
    <row r="273" customFormat="false" ht="13.5" hidden="false" customHeight="true" outlineLevel="0" collapsed="false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</row>
    <row r="274" customFormat="false" ht="13.5" hidden="false" customHeight="true" outlineLevel="0" collapsed="false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</row>
    <row r="275" customFormat="false" ht="13.5" hidden="false" customHeight="true" outlineLevel="0" collapsed="false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</row>
    <row r="276" customFormat="false" ht="13.5" hidden="false" customHeight="true" outlineLevel="0" collapsed="false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</row>
    <row r="277" customFormat="false" ht="13.5" hidden="false" customHeight="true" outlineLevel="0" collapsed="false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</row>
    <row r="278" customFormat="false" ht="13.5" hidden="false" customHeight="true" outlineLevel="0" collapsed="false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</row>
    <row r="279" customFormat="false" ht="13.5" hidden="false" customHeight="true" outlineLevel="0" collapsed="false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</row>
    <row r="280" customFormat="false" ht="13.5" hidden="false" customHeight="true" outlineLevel="0" collapsed="false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</row>
    <row r="281" customFormat="false" ht="13.5" hidden="false" customHeight="true" outlineLevel="0" collapsed="false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</row>
    <row r="282" customFormat="false" ht="13.5" hidden="false" customHeight="true" outlineLevel="0" collapsed="false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</row>
    <row r="283" customFormat="false" ht="13.5" hidden="false" customHeight="true" outlineLevel="0" collapsed="false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</row>
    <row r="284" customFormat="false" ht="13.5" hidden="false" customHeight="true" outlineLevel="0" collapsed="false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</row>
    <row r="285" customFormat="false" ht="13.5" hidden="false" customHeight="true" outlineLevel="0" collapsed="false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</row>
    <row r="286" customFormat="false" ht="13.5" hidden="false" customHeight="true" outlineLevel="0" collapsed="false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</row>
    <row r="287" customFormat="false" ht="13.5" hidden="false" customHeight="true" outlineLevel="0" collapsed="false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</row>
    <row r="288" customFormat="false" ht="13.5" hidden="false" customHeight="true" outlineLevel="0" collapsed="false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</row>
    <row r="289" customFormat="false" ht="13.5" hidden="false" customHeight="true" outlineLevel="0" collapsed="false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</row>
    <row r="290" customFormat="false" ht="13.5" hidden="false" customHeight="true" outlineLevel="0" collapsed="false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</row>
    <row r="291" customFormat="false" ht="13.5" hidden="false" customHeight="true" outlineLevel="0" collapsed="false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</row>
    <row r="292" customFormat="false" ht="13.5" hidden="false" customHeight="true" outlineLevel="0" collapsed="false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</row>
    <row r="293" customFormat="false" ht="13.5" hidden="false" customHeight="true" outlineLevel="0" collapsed="false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</row>
    <row r="294" customFormat="false" ht="13.5" hidden="false" customHeight="true" outlineLevel="0" collapsed="false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</row>
    <row r="295" customFormat="false" ht="13.5" hidden="false" customHeight="true" outlineLevel="0" collapsed="false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</row>
    <row r="296" customFormat="false" ht="13.5" hidden="false" customHeight="true" outlineLevel="0" collapsed="false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</row>
    <row r="297" customFormat="false" ht="13.5" hidden="false" customHeight="true" outlineLevel="0" collapsed="false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</row>
    <row r="298" customFormat="false" ht="13.5" hidden="false" customHeight="true" outlineLevel="0" collapsed="false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</row>
    <row r="299" customFormat="false" ht="13.5" hidden="false" customHeight="true" outlineLevel="0" collapsed="false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</row>
    <row r="300" customFormat="false" ht="13.5" hidden="false" customHeight="true" outlineLevel="0" collapsed="false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</row>
    <row r="301" customFormat="false" ht="13.5" hidden="false" customHeight="true" outlineLevel="0" collapsed="false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</row>
    <row r="302" customFormat="false" ht="13.5" hidden="false" customHeight="true" outlineLevel="0" collapsed="false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</row>
    <row r="303" customFormat="false" ht="13.5" hidden="false" customHeight="true" outlineLevel="0" collapsed="false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</row>
    <row r="304" customFormat="false" ht="13.5" hidden="false" customHeight="true" outlineLevel="0" collapsed="false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</row>
    <row r="305" customFormat="false" ht="13.5" hidden="false" customHeight="true" outlineLevel="0" collapsed="false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</row>
    <row r="306" customFormat="false" ht="13.5" hidden="false" customHeight="true" outlineLevel="0" collapsed="false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</row>
    <row r="307" customFormat="false" ht="13.5" hidden="false" customHeight="true" outlineLevel="0" collapsed="false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</row>
    <row r="308" customFormat="false" ht="13.5" hidden="false" customHeight="true" outlineLevel="0" collapsed="false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</row>
    <row r="309" customFormat="false" ht="13.5" hidden="false" customHeight="true" outlineLevel="0" collapsed="false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</row>
    <row r="310" customFormat="false" ht="13.5" hidden="false" customHeight="true" outlineLevel="0" collapsed="false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</row>
    <row r="311" customFormat="false" ht="13.5" hidden="false" customHeight="true" outlineLevel="0" collapsed="false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</row>
    <row r="312" customFormat="false" ht="13.5" hidden="false" customHeight="true" outlineLevel="0" collapsed="false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</row>
    <row r="313" customFormat="false" ht="13.5" hidden="false" customHeight="true" outlineLevel="0" collapsed="false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</row>
    <row r="314" customFormat="false" ht="13.5" hidden="false" customHeight="true" outlineLevel="0" collapsed="false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</row>
    <row r="315" customFormat="false" ht="13.5" hidden="false" customHeight="true" outlineLevel="0" collapsed="false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</row>
    <row r="316" customFormat="false" ht="13.5" hidden="false" customHeight="true" outlineLevel="0" collapsed="false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</row>
    <row r="317" customFormat="false" ht="13.5" hidden="false" customHeight="true" outlineLevel="0" collapsed="false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</row>
    <row r="318" customFormat="false" ht="13.5" hidden="false" customHeight="true" outlineLevel="0" collapsed="false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</row>
    <row r="319" customFormat="false" ht="13.5" hidden="false" customHeight="true" outlineLevel="0" collapsed="false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</row>
    <row r="320" customFormat="false" ht="13.5" hidden="false" customHeight="true" outlineLevel="0" collapsed="false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</row>
    <row r="321" customFormat="false" ht="13.5" hidden="false" customHeight="true" outlineLevel="0" collapsed="false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</row>
    <row r="322" customFormat="false" ht="13.5" hidden="false" customHeight="true" outlineLevel="0" collapsed="false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</row>
    <row r="323" customFormat="false" ht="13.5" hidden="false" customHeight="true" outlineLevel="0" collapsed="false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</row>
    <row r="324" customFormat="false" ht="13.5" hidden="false" customHeight="true" outlineLevel="0" collapsed="false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</row>
    <row r="325" customFormat="false" ht="13.5" hidden="false" customHeight="true" outlineLevel="0" collapsed="false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</row>
    <row r="326" customFormat="false" ht="13.5" hidden="false" customHeight="true" outlineLevel="0" collapsed="false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</row>
    <row r="327" customFormat="false" ht="13.5" hidden="false" customHeight="true" outlineLevel="0" collapsed="false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</row>
    <row r="328" customFormat="false" ht="13.5" hidden="false" customHeight="true" outlineLevel="0" collapsed="false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</row>
    <row r="329" customFormat="false" ht="13.5" hidden="false" customHeight="true" outlineLevel="0" collapsed="false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</row>
    <row r="330" customFormat="false" ht="13.5" hidden="false" customHeight="true" outlineLevel="0" collapsed="false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</row>
    <row r="331" customFormat="false" ht="13.5" hidden="false" customHeight="true" outlineLevel="0" collapsed="false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</row>
    <row r="332" customFormat="false" ht="13.5" hidden="false" customHeight="true" outlineLevel="0" collapsed="false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</row>
    <row r="333" customFormat="false" ht="13.5" hidden="false" customHeight="true" outlineLevel="0" collapsed="false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</row>
    <row r="334" customFormat="false" ht="13.5" hidden="false" customHeight="true" outlineLevel="0" collapsed="false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</row>
    <row r="335" customFormat="false" ht="13.5" hidden="false" customHeight="true" outlineLevel="0" collapsed="false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</row>
    <row r="336" customFormat="false" ht="13.5" hidden="false" customHeight="true" outlineLevel="0" collapsed="false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</row>
    <row r="337" customFormat="false" ht="13.5" hidden="false" customHeight="true" outlineLevel="0" collapsed="false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</row>
    <row r="338" customFormat="false" ht="13.5" hidden="false" customHeight="true" outlineLevel="0" collapsed="false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</row>
    <row r="339" customFormat="false" ht="13.5" hidden="false" customHeight="true" outlineLevel="0" collapsed="false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</row>
    <row r="340" customFormat="false" ht="13.5" hidden="false" customHeight="true" outlineLevel="0" collapsed="false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</row>
    <row r="341" customFormat="false" ht="13.5" hidden="false" customHeight="true" outlineLevel="0" collapsed="false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</row>
    <row r="342" customFormat="false" ht="13.5" hidden="false" customHeight="true" outlineLevel="0" collapsed="false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</row>
    <row r="343" customFormat="false" ht="13.5" hidden="false" customHeight="true" outlineLevel="0" collapsed="false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</row>
    <row r="344" customFormat="false" ht="13.5" hidden="false" customHeight="true" outlineLevel="0" collapsed="false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</row>
    <row r="345" customFormat="false" ht="13.5" hidden="false" customHeight="true" outlineLevel="0" collapsed="false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</row>
    <row r="346" customFormat="false" ht="13.5" hidden="false" customHeight="true" outlineLevel="0" collapsed="false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</row>
    <row r="347" customFormat="false" ht="13.5" hidden="false" customHeight="true" outlineLevel="0" collapsed="false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</row>
    <row r="348" customFormat="false" ht="13.5" hidden="false" customHeight="true" outlineLevel="0" collapsed="false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</row>
    <row r="349" customFormat="false" ht="13.5" hidden="false" customHeight="true" outlineLevel="0" collapsed="false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</row>
    <row r="350" customFormat="false" ht="13.5" hidden="false" customHeight="true" outlineLevel="0" collapsed="false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</row>
    <row r="351" customFormat="false" ht="13.5" hidden="false" customHeight="true" outlineLevel="0" collapsed="false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</row>
    <row r="352" customFormat="false" ht="13.5" hidden="false" customHeight="true" outlineLevel="0" collapsed="false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</row>
    <row r="353" customFormat="false" ht="13.5" hidden="false" customHeight="true" outlineLevel="0" collapsed="false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</row>
    <row r="354" customFormat="false" ht="13.5" hidden="false" customHeight="true" outlineLevel="0" collapsed="false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</row>
    <row r="355" customFormat="false" ht="13.5" hidden="false" customHeight="true" outlineLevel="0" collapsed="false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</row>
    <row r="356" customFormat="false" ht="13.5" hidden="false" customHeight="true" outlineLevel="0" collapsed="false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</row>
    <row r="357" customFormat="false" ht="13.5" hidden="false" customHeight="true" outlineLevel="0" collapsed="false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</row>
    <row r="358" customFormat="false" ht="13.5" hidden="false" customHeight="true" outlineLevel="0" collapsed="false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</row>
    <row r="359" customFormat="false" ht="13.5" hidden="false" customHeight="true" outlineLevel="0" collapsed="false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</row>
    <row r="360" customFormat="false" ht="13.5" hidden="false" customHeight="true" outlineLevel="0" collapsed="false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</row>
    <row r="361" customFormat="false" ht="13.5" hidden="false" customHeight="true" outlineLevel="0" collapsed="false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</row>
    <row r="362" customFormat="false" ht="13.5" hidden="false" customHeight="true" outlineLevel="0" collapsed="false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</row>
    <row r="363" customFormat="false" ht="13.5" hidden="false" customHeight="true" outlineLevel="0" collapsed="false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</row>
    <row r="364" customFormat="false" ht="13.5" hidden="false" customHeight="true" outlineLevel="0" collapsed="false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</row>
    <row r="365" customFormat="false" ht="13.5" hidden="false" customHeight="true" outlineLevel="0" collapsed="false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</row>
    <row r="366" customFormat="false" ht="13.5" hidden="false" customHeight="true" outlineLevel="0" collapsed="false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</row>
    <row r="367" customFormat="false" ht="13.5" hidden="false" customHeight="true" outlineLevel="0" collapsed="false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</row>
    <row r="368" customFormat="false" ht="13.5" hidden="false" customHeight="true" outlineLevel="0" collapsed="false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</row>
    <row r="369" customFormat="false" ht="13.5" hidden="false" customHeight="true" outlineLevel="0" collapsed="false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</row>
    <row r="370" customFormat="false" ht="13.5" hidden="false" customHeight="true" outlineLevel="0" collapsed="false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</row>
    <row r="371" customFormat="false" ht="13.5" hidden="false" customHeight="true" outlineLevel="0" collapsed="false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</row>
    <row r="372" customFormat="false" ht="13.5" hidden="false" customHeight="true" outlineLevel="0" collapsed="false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</row>
    <row r="373" customFormat="false" ht="13.5" hidden="false" customHeight="true" outlineLevel="0" collapsed="false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</row>
    <row r="374" customFormat="false" ht="13.5" hidden="false" customHeight="true" outlineLevel="0" collapsed="false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</row>
    <row r="375" customFormat="false" ht="13.5" hidden="false" customHeight="true" outlineLevel="0" collapsed="false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</row>
    <row r="376" customFormat="false" ht="13.5" hidden="false" customHeight="true" outlineLevel="0" collapsed="false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</row>
    <row r="377" customFormat="false" ht="13.5" hidden="false" customHeight="true" outlineLevel="0" collapsed="false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</row>
    <row r="378" customFormat="false" ht="13.5" hidden="false" customHeight="true" outlineLevel="0" collapsed="false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</row>
    <row r="379" customFormat="false" ht="13.5" hidden="false" customHeight="true" outlineLevel="0" collapsed="false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</row>
    <row r="380" customFormat="false" ht="13.5" hidden="false" customHeight="true" outlineLevel="0" collapsed="false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</row>
    <row r="381" customFormat="false" ht="13.5" hidden="false" customHeight="true" outlineLevel="0" collapsed="false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</row>
    <row r="382" customFormat="false" ht="13.5" hidden="false" customHeight="true" outlineLevel="0" collapsed="false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</row>
    <row r="383" customFormat="false" ht="13.5" hidden="false" customHeight="true" outlineLevel="0" collapsed="false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</row>
    <row r="384" customFormat="false" ht="13.5" hidden="false" customHeight="true" outlineLevel="0" collapsed="false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</row>
    <row r="385" customFormat="false" ht="13.5" hidden="false" customHeight="true" outlineLevel="0" collapsed="false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</row>
    <row r="386" customFormat="false" ht="13.5" hidden="false" customHeight="true" outlineLevel="0" collapsed="false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</row>
    <row r="387" customFormat="false" ht="13.5" hidden="false" customHeight="true" outlineLevel="0" collapsed="false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</row>
    <row r="388" customFormat="false" ht="13.5" hidden="false" customHeight="true" outlineLevel="0" collapsed="false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</row>
    <row r="389" customFormat="false" ht="13.5" hidden="false" customHeight="true" outlineLevel="0" collapsed="false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</row>
    <row r="390" customFormat="false" ht="13.5" hidden="false" customHeight="true" outlineLevel="0" collapsed="false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</row>
    <row r="391" customFormat="false" ht="13.5" hidden="false" customHeight="true" outlineLevel="0" collapsed="false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</row>
    <row r="392" customFormat="false" ht="13.5" hidden="false" customHeight="true" outlineLevel="0" collapsed="false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</row>
    <row r="393" customFormat="false" ht="13.5" hidden="false" customHeight="true" outlineLevel="0" collapsed="false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</row>
    <row r="394" customFormat="false" ht="13.5" hidden="false" customHeight="true" outlineLevel="0" collapsed="false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</row>
    <row r="395" customFormat="false" ht="13.5" hidden="false" customHeight="true" outlineLevel="0" collapsed="false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</row>
    <row r="396" customFormat="false" ht="13.5" hidden="false" customHeight="true" outlineLevel="0" collapsed="false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</row>
    <row r="397" customFormat="false" ht="13.5" hidden="false" customHeight="true" outlineLevel="0" collapsed="false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</row>
    <row r="398" customFormat="false" ht="13.5" hidden="false" customHeight="true" outlineLevel="0" collapsed="false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</row>
    <row r="399" customFormat="false" ht="13.5" hidden="false" customHeight="true" outlineLevel="0" collapsed="false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</row>
    <row r="400" customFormat="false" ht="13.5" hidden="false" customHeight="true" outlineLevel="0" collapsed="false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</row>
    <row r="401" customFormat="false" ht="13.5" hidden="false" customHeight="true" outlineLevel="0" collapsed="false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</row>
    <row r="402" customFormat="false" ht="13.5" hidden="false" customHeight="true" outlineLevel="0" collapsed="false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</row>
    <row r="403" customFormat="false" ht="13.5" hidden="false" customHeight="true" outlineLevel="0" collapsed="false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</row>
    <row r="404" customFormat="false" ht="13.5" hidden="false" customHeight="true" outlineLevel="0" collapsed="false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</row>
    <row r="405" customFormat="false" ht="13.5" hidden="false" customHeight="true" outlineLevel="0" collapsed="false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</row>
    <row r="406" customFormat="false" ht="13.5" hidden="false" customHeight="true" outlineLevel="0" collapsed="false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</row>
    <row r="407" customFormat="false" ht="13.5" hidden="false" customHeight="true" outlineLevel="0" collapsed="false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</row>
    <row r="408" customFormat="false" ht="13.5" hidden="false" customHeight="true" outlineLevel="0" collapsed="false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</row>
    <row r="409" customFormat="false" ht="13.5" hidden="false" customHeight="true" outlineLevel="0" collapsed="false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</row>
    <row r="410" customFormat="false" ht="13.5" hidden="false" customHeight="true" outlineLevel="0" collapsed="false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</row>
    <row r="411" customFormat="false" ht="13.5" hidden="false" customHeight="true" outlineLevel="0" collapsed="false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</row>
    <row r="412" customFormat="false" ht="13.5" hidden="false" customHeight="true" outlineLevel="0" collapsed="false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</row>
    <row r="413" customFormat="false" ht="13.5" hidden="false" customHeight="true" outlineLevel="0" collapsed="false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</row>
    <row r="414" customFormat="false" ht="13.5" hidden="false" customHeight="true" outlineLevel="0" collapsed="false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</row>
    <row r="415" customFormat="false" ht="13.5" hidden="false" customHeight="true" outlineLevel="0" collapsed="false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</row>
    <row r="416" customFormat="false" ht="13.5" hidden="false" customHeight="true" outlineLevel="0" collapsed="false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</row>
    <row r="417" customFormat="false" ht="13.5" hidden="false" customHeight="true" outlineLevel="0" collapsed="false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</row>
    <row r="418" customFormat="false" ht="13.5" hidden="false" customHeight="true" outlineLevel="0" collapsed="false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</row>
    <row r="419" customFormat="false" ht="13.5" hidden="false" customHeight="true" outlineLevel="0" collapsed="false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</row>
    <row r="420" customFormat="false" ht="13.5" hidden="false" customHeight="true" outlineLevel="0" collapsed="false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</row>
    <row r="421" customFormat="false" ht="13.5" hidden="false" customHeight="true" outlineLevel="0" collapsed="false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</row>
    <row r="422" customFormat="false" ht="13.5" hidden="false" customHeight="true" outlineLevel="0" collapsed="false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</row>
    <row r="423" customFormat="false" ht="13.5" hidden="false" customHeight="true" outlineLevel="0" collapsed="false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</row>
    <row r="424" customFormat="false" ht="13.5" hidden="false" customHeight="true" outlineLevel="0" collapsed="false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</row>
    <row r="425" customFormat="false" ht="13.5" hidden="false" customHeight="true" outlineLevel="0" collapsed="false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</row>
    <row r="426" customFormat="false" ht="13.5" hidden="false" customHeight="true" outlineLevel="0" collapsed="false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</row>
    <row r="427" customFormat="false" ht="13.5" hidden="false" customHeight="true" outlineLevel="0" collapsed="false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</row>
    <row r="428" customFormat="false" ht="13.5" hidden="false" customHeight="true" outlineLevel="0" collapsed="false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</row>
    <row r="429" customFormat="false" ht="13.5" hidden="false" customHeight="true" outlineLevel="0" collapsed="false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</row>
    <row r="430" customFormat="false" ht="13.5" hidden="false" customHeight="true" outlineLevel="0" collapsed="false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</row>
    <row r="431" customFormat="false" ht="13.5" hidden="false" customHeight="true" outlineLevel="0" collapsed="false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</row>
    <row r="432" customFormat="false" ht="13.5" hidden="false" customHeight="true" outlineLevel="0" collapsed="false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</row>
    <row r="433" customFormat="false" ht="13.5" hidden="false" customHeight="true" outlineLevel="0" collapsed="false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</row>
    <row r="434" customFormat="false" ht="13.5" hidden="false" customHeight="true" outlineLevel="0" collapsed="false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</row>
    <row r="435" customFormat="false" ht="13.5" hidden="false" customHeight="true" outlineLevel="0" collapsed="false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</row>
    <row r="436" customFormat="false" ht="13.5" hidden="false" customHeight="true" outlineLevel="0" collapsed="false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</row>
    <row r="437" customFormat="false" ht="13.5" hidden="false" customHeight="true" outlineLevel="0" collapsed="false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</row>
    <row r="438" customFormat="false" ht="13.5" hidden="false" customHeight="true" outlineLevel="0" collapsed="false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</row>
    <row r="439" customFormat="false" ht="13.5" hidden="false" customHeight="true" outlineLevel="0" collapsed="false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</row>
    <row r="440" customFormat="false" ht="13.5" hidden="false" customHeight="true" outlineLevel="0" collapsed="false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</row>
    <row r="441" customFormat="false" ht="13.5" hidden="false" customHeight="true" outlineLevel="0" collapsed="false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</row>
    <row r="442" customFormat="false" ht="13.5" hidden="false" customHeight="true" outlineLevel="0" collapsed="false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</row>
    <row r="443" customFormat="false" ht="13.5" hidden="false" customHeight="true" outlineLevel="0" collapsed="false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</row>
    <row r="444" customFormat="false" ht="13.5" hidden="false" customHeight="true" outlineLevel="0" collapsed="false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</row>
    <row r="445" customFormat="false" ht="13.5" hidden="false" customHeight="true" outlineLevel="0" collapsed="false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</row>
    <row r="446" customFormat="false" ht="13.5" hidden="false" customHeight="true" outlineLevel="0" collapsed="false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</row>
    <row r="447" customFormat="false" ht="13.5" hidden="false" customHeight="true" outlineLevel="0" collapsed="false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</row>
    <row r="448" customFormat="false" ht="13.5" hidden="false" customHeight="true" outlineLevel="0" collapsed="false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</row>
    <row r="449" customFormat="false" ht="13.5" hidden="false" customHeight="true" outlineLevel="0" collapsed="false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</row>
    <row r="450" customFormat="false" ht="13.5" hidden="false" customHeight="true" outlineLevel="0" collapsed="false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</row>
    <row r="451" customFormat="false" ht="13.5" hidden="false" customHeight="true" outlineLevel="0" collapsed="false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</row>
    <row r="452" customFormat="false" ht="13.5" hidden="false" customHeight="true" outlineLevel="0" collapsed="false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</row>
    <row r="453" customFormat="false" ht="13.5" hidden="false" customHeight="true" outlineLevel="0" collapsed="false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</row>
    <row r="454" customFormat="false" ht="13.5" hidden="false" customHeight="true" outlineLevel="0" collapsed="false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</row>
    <row r="455" customFormat="false" ht="13.5" hidden="false" customHeight="true" outlineLevel="0" collapsed="false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</row>
    <row r="456" customFormat="false" ht="13.5" hidden="false" customHeight="true" outlineLevel="0" collapsed="false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</row>
    <row r="457" customFormat="false" ht="13.5" hidden="false" customHeight="true" outlineLevel="0" collapsed="false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</row>
    <row r="458" customFormat="false" ht="13.5" hidden="false" customHeight="true" outlineLevel="0" collapsed="false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</row>
    <row r="459" customFormat="false" ht="13.5" hidden="false" customHeight="true" outlineLevel="0" collapsed="false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</row>
    <row r="460" customFormat="false" ht="13.5" hidden="false" customHeight="true" outlineLevel="0" collapsed="false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</row>
    <row r="461" customFormat="false" ht="13.5" hidden="false" customHeight="true" outlineLevel="0" collapsed="false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</row>
    <row r="462" customFormat="false" ht="13.5" hidden="false" customHeight="true" outlineLevel="0" collapsed="false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</row>
    <row r="463" customFormat="false" ht="13.5" hidden="false" customHeight="true" outlineLevel="0" collapsed="false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</row>
    <row r="464" customFormat="false" ht="13.5" hidden="false" customHeight="true" outlineLevel="0" collapsed="false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</row>
    <row r="465" customFormat="false" ht="13.5" hidden="false" customHeight="true" outlineLevel="0" collapsed="false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</row>
    <row r="466" customFormat="false" ht="13.5" hidden="false" customHeight="true" outlineLevel="0" collapsed="false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</row>
    <row r="467" customFormat="false" ht="13.5" hidden="false" customHeight="true" outlineLevel="0" collapsed="false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</row>
    <row r="468" customFormat="false" ht="13.5" hidden="false" customHeight="true" outlineLevel="0" collapsed="false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</row>
    <row r="469" customFormat="false" ht="13.5" hidden="false" customHeight="true" outlineLevel="0" collapsed="false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</row>
    <row r="470" customFormat="false" ht="13.5" hidden="false" customHeight="true" outlineLevel="0" collapsed="false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</row>
    <row r="471" customFormat="false" ht="13.5" hidden="false" customHeight="true" outlineLevel="0" collapsed="false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</row>
    <row r="472" customFormat="false" ht="13.5" hidden="false" customHeight="true" outlineLevel="0" collapsed="false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</row>
    <row r="473" customFormat="false" ht="13.5" hidden="false" customHeight="true" outlineLevel="0" collapsed="false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</row>
    <row r="474" customFormat="false" ht="13.5" hidden="false" customHeight="true" outlineLevel="0" collapsed="false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</row>
    <row r="475" customFormat="false" ht="13.5" hidden="false" customHeight="true" outlineLevel="0" collapsed="false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</row>
    <row r="476" customFormat="false" ht="13.5" hidden="false" customHeight="true" outlineLevel="0" collapsed="false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</row>
    <row r="477" customFormat="false" ht="13.5" hidden="false" customHeight="true" outlineLevel="0" collapsed="false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</row>
    <row r="478" customFormat="false" ht="13.5" hidden="false" customHeight="true" outlineLevel="0" collapsed="false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</row>
    <row r="479" customFormat="false" ht="13.5" hidden="false" customHeight="true" outlineLevel="0" collapsed="false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</row>
    <row r="480" customFormat="false" ht="13.5" hidden="false" customHeight="true" outlineLevel="0" collapsed="false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</row>
    <row r="481" customFormat="false" ht="13.5" hidden="false" customHeight="true" outlineLevel="0" collapsed="false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</row>
    <row r="482" customFormat="false" ht="13.5" hidden="false" customHeight="true" outlineLevel="0" collapsed="false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</row>
    <row r="483" customFormat="false" ht="13.5" hidden="false" customHeight="true" outlineLevel="0" collapsed="false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</row>
    <row r="484" customFormat="false" ht="13.5" hidden="false" customHeight="true" outlineLevel="0" collapsed="false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</row>
    <row r="485" customFormat="false" ht="13.5" hidden="false" customHeight="true" outlineLevel="0" collapsed="false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</row>
    <row r="486" customFormat="false" ht="13.5" hidden="false" customHeight="true" outlineLevel="0" collapsed="false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</row>
    <row r="487" customFormat="false" ht="13.5" hidden="false" customHeight="true" outlineLevel="0" collapsed="false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</row>
    <row r="488" customFormat="false" ht="13.5" hidden="false" customHeight="true" outlineLevel="0" collapsed="false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</row>
    <row r="489" customFormat="false" ht="13.5" hidden="false" customHeight="true" outlineLevel="0" collapsed="false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</row>
    <row r="490" customFormat="false" ht="13.5" hidden="false" customHeight="true" outlineLevel="0" collapsed="false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</row>
    <row r="491" customFormat="false" ht="13.5" hidden="false" customHeight="true" outlineLevel="0" collapsed="false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</row>
    <row r="492" customFormat="false" ht="13.5" hidden="false" customHeight="true" outlineLevel="0" collapsed="false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</row>
    <row r="493" customFormat="false" ht="13.5" hidden="false" customHeight="true" outlineLevel="0" collapsed="false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</row>
    <row r="494" customFormat="false" ht="13.5" hidden="false" customHeight="true" outlineLevel="0" collapsed="false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</row>
    <row r="495" customFormat="false" ht="13.5" hidden="false" customHeight="true" outlineLevel="0" collapsed="false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</row>
    <row r="496" customFormat="false" ht="13.5" hidden="false" customHeight="true" outlineLevel="0" collapsed="false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</row>
    <row r="497" customFormat="false" ht="13.5" hidden="false" customHeight="true" outlineLevel="0" collapsed="false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</row>
    <row r="498" customFormat="false" ht="13.5" hidden="false" customHeight="true" outlineLevel="0" collapsed="false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</row>
    <row r="499" customFormat="false" ht="13.5" hidden="false" customHeight="true" outlineLevel="0" collapsed="false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</row>
    <row r="500" customFormat="false" ht="13.5" hidden="false" customHeight="true" outlineLevel="0" collapsed="false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</row>
    <row r="501" customFormat="false" ht="13.5" hidden="false" customHeight="true" outlineLevel="0" collapsed="false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</row>
    <row r="502" customFormat="false" ht="13.5" hidden="false" customHeight="true" outlineLevel="0" collapsed="false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</row>
    <row r="503" customFormat="false" ht="13.5" hidden="false" customHeight="true" outlineLevel="0" collapsed="false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</row>
    <row r="504" customFormat="false" ht="13.5" hidden="false" customHeight="true" outlineLevel="0" collapsed="false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</row>
    <row r="505" customFormat="false" ht="13.5" hidden="false" customHeight="true" outlineLevel="0" collapsed="false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</row>
    <row r="506" customFormat="false" ht="13.5" hidden="false" customHeight="true" outlineLevel="0" collapsed="false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</row>
    <row r="507" customFormat="false" ht="13.5" hidden="false" customHeight="true" outlineLevel="0" collapsed="false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</row>
    <row r="508" customFormat="false" ht="13.5" hidden="false" customHeight="true" outlineLevel="0" collapsed="false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</row>
    <row r="509" customFormat="false" ht="13.5" hidden="false" customHeight="true" outlineLevel="0" collapsed="false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</row>
    <row r="510" customFormat="false" ht="13.5" hidden="false" customHeight="true" outlineLevel="0" collapsed="false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</row>
    <row r="511" customFormat="false" ht="13.5" hidden="false" customHeight="true" outlineLevel="0" collapsed="false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</row>
    <row r="512" customFormat="false" ht="13.5" hidden="false" customHeight="true" outlineLevel="0" collapsed="false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</row>
    <row r="513" customFormat="false" ht="13.5" hidden="false" customHeight="true" outlineLevel="0" collapsed="false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</row>
    <row r="514" customFormat="false" ht="13.5" hidden="false" customHeight="true" outlineLevel="0" collapsed="false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</row>
    <row r="515" customFormat="false" ht="13.5" hidden="false" customHeight="true" outlineLevel="0" collapsed="false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</row>
    <row r="516" customFormat="false" ht="13.5" hidden="false" customHeight="true" outlineLevel="0" collapsed="false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</row>
    <row r="517" customFormat="false" ht="13.5" hidden="false" customHeight="true" outlineLevel="0" collapsed="false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</row>
    <row r="518" customFormat="false" ht="13.5" hidden="false" customHeight="true" outlineLevel="0" collapsed="false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</row>
    <row r="519" customFormat="false" ht="13.5" hidden="false" customHeight="true" outlineLevel="0" collapsed="false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</row>
    <row r="520" customFormat="false" ht="13.5" hidden="false" customHeight="true" outlineLevel="0" collapsed="false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</row>
    <row r="521" customFormat="false" ht="13.5" hidden="false" customHeight="true" outlineLevel="0" collapsed="false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</row>
    <row r="522" customFormat="false" ht="13.5" hidden="false" customHeight="true" outlineLevel="0" collapsed="false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</row>
    <row r="523" customFormat="false" ht="13.5" hidden="false" customHeight="true" outlineLevel="0" collapsed="false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</row>
    <row r="524" customFormat="false" ht="13.5" hidden="false" customHeight="true" outlineLevel="0" collapsed="false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</row>
    <row r="525" customFormat="false" ht="13.5" hidden="false" customHeight="true" outlineLevel="0" collapsed="false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</row>
    <row r="526" customFormat="false" ht="13.5" hidden="false" customHeight="true" outlineLevel="0" collapsed="false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</row>
    <row r="527" customFormat="false" ht="13.5" hidden="false" customHeight="true" outlineLevel="0" collapsed="false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</row>
    <row r="528" customFormat="false" ht="13.5" hidden="false" customHeight="true" outlineLevel="0" collapsed="false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</row>
    <row r="529" customFormat="false" ht="13.5" hidden="false" customHeight="true" outlineLevel="0" collapsed="false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</row>
    <row r="530" customFormat="false" ht="13.5" hidden="false" customHeight="true" outlineLevel="0" collapsed="false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</row>
    <row r="531" customFormat="false" ht="13.5" hidden="false" customHeight="true" outlineLevel="0" collapsed="false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</row>
    <row r="532" customFormat="false" ht="13.5" hidden="false" customHeight="true" outlineLevel="0" collapsed="false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</row>
    <row r="533" customFormat="false" ht="13.5" hidden="false" customHeight="true" outlineLevel="0" collapsed="false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</row>
    <row r="534" customFormat="false" ht="13.5" hidden="false" customHeight="true" outlineLevel="0" collapsed="false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</row>
    <row r="535" customFormat="false" ht="13.5" hidden="false" customHeight="true" outlineLevel="0" collapsed="false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</row>
    <row r="536" customFormat="false" ht="13.5" hidden="false" customHeight="true" outlineLevel="0" collapsed="false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</row>
    <row r="537" customFormat="false" ht="13.5" hidden="false" customHeight="true" outlineLevel="0" collapsed="false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</row>
    <row r="538" customFormat="false" ht="13.5" hidden="false" customHeight="true" outlineLevel="0" collapsed="false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</row>
    <row r="539" customFormat="false" ht="13.5" hidden="false" customHeight="true" outlineLevel="0" collapsed="false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</row>
    <row r="540" customFormat="false" ht="13.5" hidden="false" customHeight="true" outlineLevel="0" collapsed="false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</row>
    <row r="541" customFormat="false" ht="13.5" hidden="false" customHeight="true" outlineLevel="0" collapsed="false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</row>
    <row r="542" customFormat="false" ht="13.5" hidden="false" customHeight="true" outlineLevel="0" collapsed="false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</row>
    <row r="543" customFormat="false" ht="13.5" hidden="false" customHeight="true" outlineLevel="0" collapsed="false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</row>
    <row r="544" customFormat="false" ht="13.5" hidden="false" customHeight="true" outlineLevel="0" collapsed="false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</row>
    <row r="545" customFormat="false" ht="13.5" hidden="false" customHeight="true" outlineLevel="0" collapsed="false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</row>
    <row r="546" customFormat="false" ht="13.5" hidden="false" customHeight="true" outlineLevel="0" collapsed="false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</row>
    <row r="547" customFormat="false" ht="13.5" hidden="false" customHeight="true" outlineLevel="0" collapsed="false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</row>
    <row r="548" customFormat="false" ht="13.5" hidden="false" customHeight="true" outlineLevel="0" collapsed="false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</row>
    <row r="549" customFormat="false" ht="13.5" hidden="false" customHeight="true" outlineLevel="0" collapsed="false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</row>
    <row r="550" customFormat="false" ht="13.5" hidden="false" customHeight="true" outlineLevel="0" collapsed="false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</row>
    <row r="551" customFormat="false" ht="13.5" hidden="false" customHeight="true" outlineLevel="0" collapsed="false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</row>
    <row r="552" customFormat="false" ht="13.5" hidden="false" customHeight="true" outlineLevel="0" collapsed="false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</row>
    <row r="553" customFormat="false" ht="13.5" hidden="false" customHeight="true" outlineLevel="0" collapsed="false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</row>
    <row r="554" customFormat="false" ht="13.5" hidden="false" customHeight="true" outlineLevel="0" collapsed="false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</row>
    <row r="555" customFormat="false" ht="13.5" hidden="false" customHeight="true" outlineLevel="0" collapsed="false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</row>
    <row r="556" customFormat="false" ht="13.5" hidden="false" customHeight="true" outlineLevel="0" collapsed="false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</row>
    <row r="557" customFormat="false" ht="13.5" hidden="false" customHeight="true" outlineLevel="0" collapsed="false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</row>
    <row r="558" customFormat="false" ht="13.5" hidden="false" customHeight="true" outlineLevel="0" collapsed="false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</row>
    <row r="559" customFormat="false" ht="13.5" hidden="false" customHeight="true" outlineLevel="0" collapsed="false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</row>
    <row r="560" customFormat="false" ht="13.5" hidden="false" customHeight="true" outlineLevel="0" collapsed="false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</row>
    <row r="561" customFormat="false" ht="13.5" hidden="false" customHeight="true" outlineLevel="0" collapsed="false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</row>
    <row r="562" customFormat="false" ht="13.5" hidden="false" customHeight="true" outlineLevel="0" collapsed="false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</row>
    <row r="563" customFormat="false" ht="13.5" hidden="false" customHeight="true" outlineLevel="0" collapsed="false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</row>
    <row r="564" customFormat="false" ht="13.5" hidden="false" customHeight="true" outlineLevel="0" collapsed="false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</row>
    <row r="565" customFormat="false" ht="13.5" hidden="false" customHeight="true" outlineLevel="0" collapsed="false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</row>
    <row r="566" customFormat="false" ht="13.5" hidden="false" customHeight="true" outlineLevel="0" collapsed="false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</row>
    <row r="567" customFormat="false" ht="13.5" hidden="false" customHeight="true" outlineLevel="0" collapsed="false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</row>
    <row r="568" customFormat="false" ht="13.5" hidden="false" customHeight="true" outlineLevel="0" collapsed="false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</row>
    <row r="569" customFormat="false" ht="13.5" hidden="false" customHeight="true" outlineLevel="0" collapsed="false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</row>
    <row r="570" customFormat="false" ht="13.5" hidden="false" customHeight="true" outlineLevel="0" collapsed="false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</row>
    <row r="571" customFormat="false" ht="13.5" hidden="false" customHeight="true" outlineLevel="0" collapsed="false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</row>
    <row r="572" customFormat="false" ht="13.5" hidden="false" customHeight="true" outlineLevel="0" collapsed="false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</row>
    <row r="573" customFormat="false" ht="13.5" hidden="false" customHeight="true" outlineLevel="0" collapsed="false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</row>
    <row r="574" customFormat="false" ht="13.5" hidden="false" customHeight="true" outlineLevel="0" collapsed="false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</row>
    <row r="575" customFormat="false" ht="13.5" hidden="false" customHeight="true" outlineLevel="0" collapsed="false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</row>
    <row r="576" customFormat="false" ht="13.5" hidden="false" customHeight="true" outlineLevel="0" collapsed="false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</row>
    <row r="577" customFormat="false" ht="13.5" hidden="false" customHeight="true" outlineLevel="0" collapsed="false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</row>
    <row r="578" customFormat="false" ht="13.5" hidden="false" customHeight="true" outlineLevel="0" collapsed="false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</row>
    <row r="579" customFormat="false" ht="13.5" hidden="false" customHeight="true" outlineLevel="0" collapsed="false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</row>
    <row r="580" customFormat="false" ht="13.5" hidden="false" customHeight="true" outlineLevel="0" collapsed="false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</row>
    <row r="581" customFormat="false" ht="13.5" hidden="false" customHeight="true" outlineLevel="0" collapsed="false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</row>
    <row r="582" customFormat="false" ht="13.5" hidden="false" customHeight="true" outlineLevel="0" collapsed="false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</row>
    <row r="583" customFormat="false" ht="13.5" hidden="false" customHeight="true" outlineLevel="0" collapsed="false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</row>
    <row r="584" customFormat="false" ht="13.5" hidden="false" customHeight="true" outlineLevel="0" collapsed="false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</row>
    <row r="585" customFormat="false" ht="13.5" hidden="false" customHeight="true" outlineLevel="0" collapsed="false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</row>
    <row r="586" customFormat="false" ht="13.5" hidden="false" customHeight="true" outlineLevel="0" collapsed="false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</row>
    <row r="587" customFormat="false" ht="13.5" hidden="false" customHeight="true" outlineLevel="0" collapsed="false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</row>
    <row r="588" customFormat="false" ht="13.5" hidden="false" customHeight="true" outlineLevel="0" collapsed="false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</row>
    <row r="589" customFormat="false" ht="13.5" hidden="false" customHeight="true" outlineLevel="0" collapsed="false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</row>
    <row r="590" customFormat="false" ht="13.5" hidden="false" customHeight="true" outlineLevel="0" collapsed="false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</row>
    <row r="591" customFormat="false" ht="13.5" hidden="false" customHeight="true" outlineLevel="0" collapsed="false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</row>
    <row r="592" customFormat="false" ht="13.5" hidden="false" customHeight="true" outlineLevel="0" collapsed="false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</row>
    <row r="593" customFormat="false" ht="13.5" hidden="false" customHeight="true" outlineLevel="0" collapsed="false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</row>
    <row r="594" customFormat="false" ht="13.5" hidden="false" customHeight="true" outlineLevel="0" collapsed="false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</row>
    <row r="595" customFormat="false" ht="13.5" hidden="false" customHeight="true" outlineLevel="0" collapsed="false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</row>
    <row r="596" customFormat="false" ht="13.5" hidden="false" customHeight="true" outlineLevel="0" collapsed="false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</row>
    <row r="597" customFormat="false" ht="13.5" hidden="false" customHeight="true" outlineLevel="0" collapsed="false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</row>
    <row r="598" customFormat="false" ht="13.5" hidden="false" customHeight="true" outlineLevel="0" collapsed="false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</row>
    <row r="599" customFormat="false" ht="13.5" hidden="false" customHeight="true" outlineLevel="0" collapsed="false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</row>
    <row r="600" customFormat="false" ht="13.5" hidden="false" customHeight="true" outlineLevel="0" collapsed="false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</row>
    <row r="601" customFormat="false" ht="13.5" hidden="false" customHeight="true" outlineLevel="0" collapsed="false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</row>
    <row r="602" customFormat="false" ht="13.5" hidden="false" customHeight="true" outlineLevel="0" collapsed="false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</row>
    <row r="603" customFormat="false" ht="13.5" hidden="false" customHeight="true" outlineLevel="0" collapsed="false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</row>
    <row r="604" customFormat="false" ht="13.5" hidden="false" customHeight="true" outlineLevel="0" collapsed="false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</row>
    <row r="605" customFormat="false" ht="13.5" hidden="false" customHeight="true" outlineLevel="0" collapsed="false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</row>
    <row r="606" customFormat="false" ht="13.5" hidden="false" customHeight="true" outlineLevel="0" collapsed="false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</row>
    <row r="607" customFormat="false" ht="13.5" hidden="false" customHeight="true" outlineLevel="0" collapsed="false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</row>
    <row r="608" customFormat="false" ht="13.5" hidden="false" customHeight="true" outlineLevel="0" collapsed="false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</row>
    <row r="609" customFormat="false" ht="13.5" hidden="false" customHeight="true" outlineLevel="0" collapsed="false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</row>
    <row r="610" customFormat="false" ht="13.5" hidden="false" customHeight="true" outlineLevel="0" collapsed="false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</row>
    <row r="611" customFormat="false" ht="13.5" hidden="false" customHeight="true" outlineLevel="0" collapsed="false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</row>
    <row r="612" customFormat="false" ht="13.5" hidden="false" customHeight="true" outlineLevel="0" collapsed="false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</row>
    <row r="613" customFormat="false" ht="13.5" hidden="false" customHeight="true" outlineLevel="0" collapsed="false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</row>
    <row r="614" customFormat="false" ht="13.5" hidden="false" customHeight="true" outlineLevel="0" collapsed="false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</row>
    <row r="615" customFormat="false" ht="13.5" hidden="false" customHeight="true" outlineLevel="0" collapsed="false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</row>
    <row r="616" customFormat="false" ht="13.5" hidden="false" customHeight="true" outlineLevel="0" collapsed="false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</row>
    <row r="617" customFormat="false" ht="13.5" hidden="false" customHeight="true" outlineLevel="0" collapsed="false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</row>
    <row r="618" customFormat="false" ht="13.5" hidden="false" customHeight="true" outlineLevel="0" collapsed="false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</row>
    <row r="619" customFormat="false" ht="13.5" hidden="false" customHeight="true" outlineLevel="0" collapsed="false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</row>
    <row r="620" customFormat="false" ht="13.5" hidden="false" customHeight="true" outlineLevel="0" collapsed="false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</row>
    <row r="621" customFormat="false" ht="13.5" hidden="false" customHeight="true" outlineLevel="0" collapsed="false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</row>
    <row r="622" customFormat="false" ht="13.5" hidden="false" customHeight="true" outlineLevel="0" collapsed="false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</row>
    <row r="623" customFormat="false" ht="13.5" hidden="false" customHeight="true" outlineLevel="0" collapsed="false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</row>
    <row r="624" customFormat="false" ht="13.5" hidden="false" customHeight="true" outlineLevel="0" collapsed="false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</row>
    <row r="625" customFormat="false" ht="13.5" hidden="false" customHeight="true" outlineLevel="0" collapsed="false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</row>
    <row r="626" customFormat="false" ht="13.5" hidden="false" customHeight="true" outlineLevel="0" collapsed="false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</row>
    <row r="627" customFormat="false" ht="13.5" hidden="false" customHeight="true" outlineLevel="0" collapsed="false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</row>
    <row r="628" customFormat="false" ht="13.5" hidden="false" customHeight="true" outlineLevel="0" collapsed="false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</row>
    <row r="629" customFormat="false" ht="13.5" hidden="false" customHeight="true" outlineLevel="0" collapsed="false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</row>
    <row r="630" customFormat="false" ht="13.5" hidden="false" customHeight="true" outlineLevel="0" collapsed="false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</row>
    <row r="631" customFormat="false" ht="13.5" hidden="false" customHeight="true" outlineLevel="0" collapsed="false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</row>
    <row r="632" customFormat="false" ht="13.5" hidden="false" customHeight="true" outlineLevel="0" collapsed="false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</row>
    <row r="633" customFormat="false" ht="13.5" hidden="false" customHeight="true" outlineLevel="0" collapsed="false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</row>
    <row r="634" customFormat="false" ht="13.5" hidden="false" customHeight="true" outlineLevel="0" collapsed="false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</row>
    <row r="635" customFormat="false" ht="13.5" hidden="false" customHeight="true" outlineLevel="0" collapsed="false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</row>
    <row r="636" customFormat="false" ht="13.5" hidden="false" customHeight="true" outlineLevel="0" collapsed="false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</row>
    <row r="637" customFormat="false" ht="13.5" hidden="false" customHeight="true" outlineLevel="0" collapsed="false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</row>
    <row r="638" customFormat="false" ht="13.5" hidden="false" customHeight="true" outlineLevel="0" collapsed="false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</row>
    <row r="639" customFormat="false" ht="13.5" hidden="false" customHeight="true" outlineLevel="0" collapsed="false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</row>
    <row r="640" customFormat="false" ht="13.5" hidden="false" customHeight="true" outlineLevel="0" collapsed="false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</row>
    <row r="641" customFormat="false" ht="13.5" hidden="false" customHeight="true" outlineLevel="0" collapsed="false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</row>
    <row r="642" customFormat="false" ht="13.5" hidden="false" customHeight="true" outlineLevel="0" collapsed="false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</row>
    <row r="643" customFormat="false" ht="13.5" hidden="false" customHeight="true" outlineLevel="0" collapsed="false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</row>
    <row r="644" customFormat="false" ht="13.5" hidden="false" customHeight="true" outlineLevel="0" collapsed="false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</row>
    <row r="645" customFormat="false" ht="13.5" hidden="false" customHeight="true" outlineLevel="0" collapsed="false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</row>
    <row r="646" customFormat="false" ht="13.5" hidden="false" customHeight="true" outlineLevel="0" collapsed="false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</row>
    <row r="647" customFormat="false" ht="13.5" hidden="false" customHeight="true" outlineLevel="0" collapsed="false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</row>
    <row r="648" customFormat="false" ht="13.5" hidden="false" customHeight="true" outlineLevel="0" collapsed="false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</row>
    <row r="649" customFormat="false" ht="13.5" hidden="false" customHeight="true" outlineLevel="0" collapsed="false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</row>
    <row r="650" customFormat="false" ht="13.5" hidden="false" customHeight="true" outlineLevel="0" collapsed="false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</row>
    <row r="651" customFormat="false" ht="13.5" hidden="false" customHeight="true" outlineLevel="0" collapsed="false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</row>
    <row r="652" customFormat="false" ht="13.5" hidden="false" customHeight="true" outlineLevel="0" collapsed="false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</row>
    <row r="653" customFormat="false" ht="13.5" hidden="false" customHeight="true" outlineLevel="0" collapsed="false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</row>
    <row r="654" customFormat="false" ht="13.5" hidden="false" customHeight="true" outlineLevel="0" collapsed="false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</row>
    <row r="655" customFormat="false" ht="13.5" hidden="false" customHeight="true" outlineLevel="0" collapsed="false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</row>
    <row r="656" customFormat="false" ht="13.5" hidden="false" customHeight="true" outlineLevel="0" collapsed="false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</row>
    <row r="657" customFormat="false" ht="13.5" hidden="false" customHeight="true" outlineLevel="0" collapsed="false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</row>
    <row r="658" customFormat="false" ht="13.5" hidden="false" customHeight="true" outlineLevel="0" collapsed="false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</row>
    <row r="659" customFormat="false" ht="13.5" hidden="false" customHeight="true" outlineLevel="0" collapsed="false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</row>
    <row r="660" customFormat="false" ht="13.5" hidden="false" customHeight="true" outlineLevel="0" collapsed="false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</row>
    <row r="661" customFormat="false" ht="13.5" hidden="false" customHeight="true" outlineLevel="0" collapsed="false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</row>
    <row r="662" customFormat="false" ht="13.5" hidden="false" customHeight="true" outlineLevel="0" collapsed="false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</row>
    <row r="663" customFormat="false" ht="13.5" hidden="false" customHeight="true" outlineLevel="0" collapsed="false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</row>
    <row r="664" customFormat="false" ht="13.5" hidden="false" customHeight="true" outlineLevel="0" collapsed="false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</row>
    <row r="665" customFormat="false" ht="13.5" hidden="false" customHeight="true" outlineLevel="0" collapsed="false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</row>
    <row r="666" customFormat="false" ht="13.5" hidden="false" customHeight="true" outlineLevel="0" collapsed="false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</row>
    <row r="667" customFormat="false" ht="13.5" hidden="false" customHeight="true" outlineLevel="0" collapsed="false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</row>
    <row r="668" customFormat="false" ht="13.5" hidden="false" customHeight="true" outlineLevel="0" collapsed="false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</row>
    <row r="669" customFormat="false" ht="13.5" hidden="false" customHeight="true" outlineLevel="0" collapsed="false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</row>
    <row r="670" customFormat="false" ht="13.5" hidden="false" customHeight="true" outlineLevel="0" collapsed="false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</row>
    <row r="671" customFormat="false" ht="13.5" hidden="false" customHeight="true" outlineLevel="0" collapsed="false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</row>
    <row r="672" customFormat="false" ht="13.5" hidden="false" customHeight="true" outlineLevel="0" collapsed="false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</row>
    <row r="673" customFormat="false" ht="13.5" hidden="false" customHeight="true" outlineLevel="0" collapsed="false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</row>
    <row r="674" customFormat="false" ht="13.5" hidden="false" customHeight="true" outlineLevel="0" collapsed="false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</row>
    <row r="675" customFormat="false" ht="13.5" hidden="false" customHeight="true" outlineLevel="0" collapsed="false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</row>
    <row r="676" customFormat="false" ht="13.5" hidden="false" customHeight="true" outlineLevel="0" collapsed="false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</row>
    <row r="677" customFormat="false" ht="13.5" hidden="false" customHeight="true" outlineLevel="0" collapsed="false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</row>
    <row r="678" customFormat="false" ht="13.5" hidden="false" customHeight="true" outlineLevel="0" collapsed="false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</row>
    <row r="679" customFormat="false" ht="13.5" hidden="false" customHeight="true" outlineLevel="0" collapsed="false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</row>
    <row r="680" customFormat="false" ht="13.5" hidden="false" customHeight="true" outlineLevel="0" collapsed="false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</row>
    <row r="681" customFormat="false" ht="13.5" hidden="false" customHeight="true" outlineLevel="0" collapsed="false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</row>
    <row r="682" customFormat="false" ht="13.5" hidden="false" customHeight="true" outlineLevel="0" collapsed="false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</row>
    <row r="683" customFormat="false" ht="13.5" hidden="false" customHeight="true" outlineLevel="0" collapsed="false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</row>
    <row r="684" customFormat="false" ht="13.5" hidden="false" customHeight="true" outlineLevel="0" collapsed="false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</row>
    <row r="685" customFormat="false" ht="13.5" hidden="false" customHeight="true" outlineLevel="0" collapsed="false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</row>
    <row r="686" customFormat="false" ht="13.5" hidden="false" customHeight="true" outlineLevel="0" collapsed="false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</row>
    <row r="687" customFormat="false" ht="13.5" hidden="false" customHeight="true" outlineLevel="0" collapsed="false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</row>
    <row r="688" customFormat="false" ht="13.5" hidden="false" customHeight="true" outlineLevel="0" collapsed="false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</row>
    <row r="689" customFormat="false" ht="13.5" hidden="false" customHeight="true" outlineLevel="0" collapsed="false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</row>
    <row r="690" customFormat="false" ht="13.5" hidden="false" customHeight="true" outlineLevel="0" collapsed="false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</row>
    <row r="691" customFormat="false" ht="13.5" hidden="false" customHeight="true" outlineLevel="0" collapsed="false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</row>
    <row r="692" customFormat="false" ht="13.5" hidden="false" customHeight="true" outlineLevel="0" collapsed="false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</row>
    <row r="693" customFormat="false" ht="13.5" hidden="false" customHeight="true" outlineLevel="0" collapsed="false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</row>
    <row r="694" customFormat="false" ht="13.5" hidden="false" customHeight="true" outlineLevel="0" collapsed="false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</row>
    <row r="695" customFormat="false" ht="13.5" hidden="false" customHeight="true" outlineLevel="0" collapsed="false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</row>
    <row r="696" customFormat="false" ht="13.5" hidden="false" customHeight="true" outlineLevel="0" collapsed="false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</row>
    <row r="697" customFormat="false" ht="13.5" hidden="false" customHeight="true" outlineLevel="0" collapsed="false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</row>
    <row r="698" customFormat="false" ht="13.5" hidden="false" customHeight="true" outlineLevel="0" collapsed="false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</row>
    <row r="699" customFormat="false" ht="13.5" hidden="false" customHeight="true" outlineLevel="0" collapsed="false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</row>
    <row r="700" customFormat="false" ht="13.5" hidden="false" customHeight="true" outlineLevel="0" collapsed="false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</row>
    <row r="701" customFormat="false" ht="13.5" hidden="false" customHeight="true" outlineLevel="0" collapsed="false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</row>
    <row r="702" customFormat="false" ht="13.5" hidden="false" customHeight="true" outlineLevel="0" collapsed="false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</row>
    <row r="703" customFormat="false" ht="13.5" hidden="false" customHeight="true" outlineLevel="0" collapsed="false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</row>
    <row r="704" customFormat="false" ht="13.5" hidden="false" customHeight="true" outlineLevel="0" collapsed="false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</row>
    <row r="705" customFormat="false" ht="13.5" hidden="false" customHeight="true" outlineLevel="0" collapsed="false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</row>
    <row r="706" customFormat="false" ht="13.5" hidden="false" customHeight="true" outlineLevel="0" collapsed="false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</row>
    <row r="707" customFormat="false" ht="13.5" hidden="false" customHeight="true" outlineLevel="0" collapsed="false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</row>
    <row r="708" customFormat="false" ht="13.5" hidden="false" customHeight="true" outlineLevel="0" collapsed="false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</row>
    <row r="709" customFormat="false" ht="13.5" hidden="false" customHeight="true" outlineLevel="0" collapsed="false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</row>
    <row r="710" customFormat="false" ht="13.5" hidden="false" customHeight="true" outlineLevel="0" collapsed="false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</row>
    <row r="711" customFormat="false" ht="13.5" hidden="false" customHeight="true" outlineLevel="0" collapsed="false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</row>
    <row r="712" customFormat="false" ht="13.5" hidden="false" customHeight="true" outlineLevel="0" collapsed="false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</row>
    <row r="713" customFormat="false" ht="13.5" hidden="false" customHeight="true" outlineLevel="0" collapsed="false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</row>
    <row r="714" customFormat="false" ht="13.5" hidden="false" customHeight="true" outlineLevel="0" collapsed="false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</row>
    <row r="715" customFormat="false" ht="13.5" hidden="false" customHeight="true" outlineLevel="0" collapsed="false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</row>
    <row r="716" customFormat="false" ht="13.5" hidden="false" customHeight="true" outlineLevel="0" collapsed="false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</row>
    <row r="717" customFormat="false" ht="13.5" hidden="false" customHeight="true" outlineLevel="0" collapsed="false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</row>
    <row r="718" customFormat="false" ht="13.5" hidden="false" customHeight="true" outlineLevel="0" collapsed="false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</row>
    <row r="719" customFormat="false" ht="13.5" hidden="false" customHeight="true" outlineLevel="0" collapsed="false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</row>
    <row r="720" customFormat="false" ht="13.5" hidden="false" customHeight="true" outlineLevel="0" collapsed="false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</row>
    <row r="721" customFormat="false" ht="13.5" hidden="false" customHeight="true" outlineLevel="0" collapsed="false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</row>
    <row r="722" customFormat="false" ht="13.5" hidden="false" customHeight="true" outlineLevel="0" collapsed="false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</row>
    <row r="723" customFormat="false" ht="13.5" hidden="false" customHeight="true" outlineLevel="0" collapsed="false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</row>
    <row r="724" customFormat="false" ht="13.5" hidden="false" customHeight="true" outlineLevel="0" collapsed="false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</row>
    <row r="725" customFormat="false" ht="13.5" hidden="false" customHeight="true" outlineLevel="0" collapsed="false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</row>
    <row r="726" customFormat="false" ht="13.5" hidden="false" customHeight="true" outlineLevel="0" collapsed="false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</row>
    <row r="727" customFormat="false" ht="13.5" hidden="false" customHeight="true" outlineLevel="0" collapsed="false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</row>
    <row r="728" customFormat="false" ht="13.5" hidden="false" customHeight="true" outlineLevel="0" collapsed="false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</row>
    <row r="729" customFormat="false" ht="13.5" hidden="false" customHeight="true" outlineLevel="0" collapsed="false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</row>
    <row r="730" customFormat="false" ht="13.5" hidden="false" customHeight="true" outlineLevel="0" collapsed="false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</row>
    <row r="731" customFormat="false" ht="13.5" hidden="false" customHeight="true" outlineLevel="0" collapsed="false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</row>
    <row r="732" customFormat="false" ht="13.5" hidden="false" customHeight="true" outlineLevel="0" collapsed="false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</row>
    <row r="733" customFormat="false" ht="13.5" hidden="false" customHeight="true" outlineLevel="0" collapsed="false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</row>
    <row r="734" customFormat="false" ht="13.5" hidden="false" customHeight="true" outlineLevel="0" collapsed="false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</row>
    <row r="735" customFormat="false" ht="13.5" hidden="false" customHeight="true" outlineLevel="0" collapsed="false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</row>
    <row r="736" customFormat="false" ht="13.5" hidden="false" customHeight="true" outlineLevel="0" collapsed="false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</row>
    <row r="737" customFormat="false" ht="13.5" hidden="false" customHeight="true" outlineLevel="0" collapsed="false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</row>
    <row r="738" customFormat="false" ht="13.5" hidden="false" customHeight="true" outlineLevel="0" collapsed="false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</row>
    <row r="739" customFormat="false" ht="13.5" hidden="false" customHeight="true" outlineLevel="0" collapsed="false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</row>
    <row r="740" customFormat="false" ht="13.5" hidden="false" customHeight="true" outlineLevel="0" collapsed="false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</row>
    <row r="741" customFormat="false" ht="13.5" hidden="false" customHeight="true" outlineLevel="0" collapsed="false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</row>
    <row r="742" customFormat="false" ht="13.5" hidden="false" customHeight="true" outlineLevel="0" collapsed="false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</row>
    <row r="743" customFormat="false" ht="13.5" hidden="false" customHeight="true" outlineLevel="0" collapsed="false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</row>
    <row r="744" customFormat="false" ht="13.5" hidden="false" customHeight="true" outlineLevel="0" collapsed="false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</row>
    <row r="745" customFormat="false" ht="13.5" hidden="false" customHeight="true" outlineLevel="0" collapsed="false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</row>
    <row r="746" customFormat="false" ht="13.5" hidden="false" customHeight="true" outlineLevel="0" collapsed="false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</row>
    <row r="747" customFormat="false" ht="13.5" hidden="false" customHeight="true" outlineLevel="0" collapsed="false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</row>
    <row r="748" customFormat="false" ht="13.5" hidden="false" customHeight="true" outlineLevel="0" collapsed="false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</row>
    <row r="749" customFormat="false" ht="13.5" hidden="false" customHeight="true" outlineLevel="0" collapsed="false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</row>
    <row r="750" customFormat="false" ht="13.5" hidden="false" customHeight="true" outlineLevel="0" collapsed="false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</row>
    <row r="751" customFormat="false" ht="13.5" hidden="false" customHeight="true" outlineLevel="0" collapsed="false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</row>
    <row r="752" customFormat="false" ht="13.5" hidden="false" customHeight="true" outlineLevel="0" collapsed="false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</row>
    <row r="753" customFormat="false" ht="13.5" hidden="false" customHeight="true" outlineLevel="0" collapsed="false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</row>
    <row r="754" customFormat="false" ht="13.5" hidden="false" customHeight="true" outlineLevel="0" collapsed="false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</row>
    <row r="755" customFormat="false" ht="13.5" hidden="false" customHeight="true" outlineLevel="0" collapsed="false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</row>
    <row r="756" customFormat="false" ht="13.5" hidden="false" customHeight="true" outlineLevel="0" collapsed="false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</row>
    <row r="757" customFormat="false" ht="13.5" hidden="false" customHeight="true" outlineLevel="0" collapsed="false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</row>
    <row r="758" customFormat="false" ht="13.5" hidden="false" customHeight="true" outlineLevel="0" collapsed="false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</row>
    <row r="759" customFormat="false" ht="13.5" hidden="false" customHeight="true" outlineLevel="0" collapsed="false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</row>
    <row r="760" customFormat="false" ht="13.5" hidden="false" customHeight="true" outlineLevel="0" collapsed="false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</row>
    <row r="761" customFormat="false" ht="13.5" hidden="false" customHeight="true" outlineLevel="0" collapsed="false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</row>
    <row r="762" customFormat="false" ht="13.5" hidden="false" customHeight="true" outlineLevel="0" collapsed="false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</row>
    <row r="763" customFormat="false" ht="13.5" hidden="false" customHeight="true" outlineLevel="0" collapsed="false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</row>
    <row r="764" customFormat="false" ht="13.5" hidden="false" customHeight="true" outlineLevel="0" collapsed="false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</row>
    <row r="765" customFormat="false" ht="13.5" hidden="false" customHeight="true" outlineLevel="0" collapsed="false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</row>
    <row r="766" customFormat="false" ht="13.5" hidden="false" customHeight="true" outlineLevel="0" collapsed="false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</row>
    <row r="767" customFormat="false" ht="13.5" hidden="false" customHeight="true" outlineLevel="0" collapsed="false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</row>
    <row r="768" customFormat="false" ht="13.5" hidden="false" customHeight="true" outlineLevel="0" collapsed="false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</row>
    <row r="769" customFormat="false" ht="13.5" hidden="false" customHeight="true" outlineLevel="0" collapsed="false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</row>
    <row r="770" customFormat="false" ht="13.5" hidden="false" customHeight="true" outlineLevel="0" collapsed="false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</row>
    <row r="771" customFormat="false" ht="13.5" hidden="false" customHeight="true" outlineLevel="0" collapsed="false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</row>
    <row r="772" customFormat="false" ht="13.5" hidden="false" customHeight="true" outlineLevel="0" collapsed="false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</row>
    <row r="773" customFormat="false" ht="13.5" hidden="false" customHeight="true" outlineLevel="0" collapsed="false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</row>
    <row r="774" customFormat="false" ht="13.5" hidden="false" customHeight="true" outlineLevel="0" collapsed="false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</row>
    <row r="775" customFormat="false" ht="13.5" hidden="false" customHeight="true" outlineLevel="0" collapsed="false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</row>
    <row r="776" customFormat="false" ht="13.5" hidden="false" customHeight="true" outlineLevel="0" collapsed="false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</row>
    <row r="777" customFormat="false" ht="13.5" hidden="false" customHeight="true" outlineLevel="0" collapsed="false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</row>
    <row r="778" customFormat="false" ht="13.5" hidden="false" customHeight="true" outlineLevel="0" collapsed="false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</row>
    <row r="779" customFormat="false" ht="13.5" hidden="false" customHeight="true" outlineLevel="0" collapsed="false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</row>
    <row r="780" customFormat="false" ht="13.5" hidden="false" customHeight="true" outlineLevel="0" collapsed="false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</row>
    <row r="781" customFormat="false" ht="13.5" hidden="false" customHeight="true" outlineLevel="0" collapsed="false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</row>
    <row r="782" customFormat="false" ht="13.5" hidden="false" customHeight="true" outlineLevel="0" collapsed="false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</row>
    <row r="783" customFormat="false" ht="13.5" hidden="false" customHeight="true" outlineLevel="0" collapsed="false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</row>
    <row r="784" customFormat="false" ht="13.5" hidden="false" customHeight="true" outlineLevel="0" collapsed="false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</row>
    <row r="785" customFormat="false" ht="13.5" hidden="false" customHeight="true" outlineLevel="0" collapsed="false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</row>
    <row r="786" customFormat="false" ht="13.5" hidden="false" customHeight="true" outlineLevel="0" collapsed="false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</row>
    <row r="787" customFormat="false" ht="13.5" hidden="false" customHeight="true" outlineLevel="0" collapsed="false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</row>
    <row r="788" customFormat="false" ht="13.5" hidden="false" customHeight="true" outlineLevel="0" collapsed="false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</row>
    <row r="789" customFormat="false" ht="13.5" hidden="false" customHeight="true" outlineLevel="0" collapsed="false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</row>
    <row r="790" customFormat="false" ht="13.5" hidden="false" customHeight="true" outlineLevel="0" collapsed="false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</row>
    <row r="791" customFormat="false" ht="13.5" hidden="false" customHeight="true" outlineLevel="0" collapsed="false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</row>
    <row r="792" customFormat="false" ht="13.5" hidden="false" customHeight="true" outlineLevel="0" collapsed="false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</row>
    <row r="793" customFormat="false" ht="13.5" hidden="false" customHeight="true" outlineLevel="0" collapsed="false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</row>
    <row r="794" customFormat="false" ht="13.5" hidden="false" customHeight="true" outlineLevel="0" collapsed="false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</row>
    <row r="795" customFormat="false" ht="13.5" hidden="false" customHeight="true" outlineLevel="0" collapsed="false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</row>
    <row r="796" customFormat="false" ht="13.5" hidden="false" customHeight="true" outlineLevel="0" collapsed="false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</row>
    <row r="797" customFormat="false" ht="13.5" hidden="false" customHeight="true" outlineLevel="0" collapsed="false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</row>
    <row r="798" customFormat="false" ht="13.5" hidden="false" customHeight="true" outlineLevel="0" collapsed="false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</row>
    <row r="799" customFormat="false" ht="13.5" hidden="false" customHeight="true" outlineLevel="0" collapsed="false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</row>
    <row r="800" customFormat="false" ht="13.5" hidden="false" customHeight="true" outlineLevel="0" collapsed="false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</row>
    <row r="801" customFormat="false" ht="13.5" hidden="false" customHeight="true" outlineLevel="0" collapsed="false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</row>
    <row r="802" customFormat="false" ht="13.5" hidden="false" customHeight="true" outlineLevel="0" collapsed="false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</row>
    <row r="803" customFormat="false" ht="13.5" hidden="false" customHeight="true" outlineLevel="0" collapsed="false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</row>
    <row r="804" customFormat="false" ht="13.5" hidden="false" customHeight="true" outlineLevel="0" collapsed="false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</row>
    <row r="805" customFormat="false" ht="13.5" hidden="false" customHeight="true" outlineLevel="0" collapsed="false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</row>
    <row r="806" customFormat="false" ht="13.5" hidden="false" customHeight="true" outlineLevel="0" collapsed="false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</row>
    <row r="807" customFormat="false" ht="13.5" hidden="false" customHeight="true" outlineLevel="0" collapsed="false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</row>
    <row r="808" customFormat="false" ht="13.5" hidden="false" customHeight="true" outlineLevel="0" collapsed="false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</row>
    <row r="809" customFormat="false" ht="13.5" hidden="false" customHeight="true" outlineLevel="0" collapsed="false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</row>
    <row r="810" customFormat="false" ht="13.5" hidden="false" customHeight="true" outlineLevel="0" collapsed="false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</row>
    <row r="811" customFormat="false" ht="13.5" hidden="false" customHeight="true" outlineLevel="0" collapsed="false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</row>
    <row r="812" customFormat="false" ht="13.5" hidden="false" customHeight="true" outlineLevel="0" collapsed="false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</row>
    <row r="813" customFormat="false" ht="13.5" hidden="false" customHeight="true" outlineLevel="0" collapsed="false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</row>
    <row r="814" customFormat="false" ht="13.5" hidden="false" customHeight="true" outlineLevel="0" collapsed="false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</row>
    <row r="815" customFormat="false" ht="13.5" hidden="false" customHeight="true" outlineLevel="0" collapsed="false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</row>
    <row r="816" customFormat="false" ht="13.5" hidden="false" customHeight="true" outlineLevel="0" collapsed="false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</row>
    <row r="817" customFormat="false" ht="13.5" hidden="false" customHeight="true" outlineLevel="0" collapsed="false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</row>
    <row r="818" customFormat="false" ht="13.5" hidden="false" customHeight="true" outlineLevel="0" collapsed="false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</row>
    <row r="819" customFormat="false" ht="13.5" hidden="false" customHeight="true" outlineLevel="0" collapsed="false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</row>
    <row r="820" customFormat="false" ht="13.5" hidden="false" customHeight="true" outlineLevel="0" collapsed="false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</row>
    <row r="821" customFormat="false" ht="13.5" hidden="false" customHeight="true" outlineLevel="0" collapsed="false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</row>
    <row r="822" customFormat="false" ht="13.5" hidden="false" customHeight="true" outlineLevel="0" collapsed="false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</row>
    <row r="823" customFormat="false" ht="13.5" hidden="false" customHeight="true" outlineLevel="0" collapsed="false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</row>
    <row r="824" customFormat="false" ht="13.5" hidden="false" customHeight="true" outlineLevel="0" collapsed="false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</row>
    <row r="825" customFormat="false" ht="13.5" hidden="false" customHeight="true" outlineLevel="0" collapsed="false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</row>
    <row r="826" customFormat="false" ht="13.5" hidden="false" customHeight="true" outlineLevel="0" collapsed="false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</row>
    <row r="827" customFormat="false" ht="13.5" hidden="false" customHeight="true" outlineLevel="0" collapsed="false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</row>
    <row r="828" customFormat="false" ht="13.5" hidden="false" customHeight="true" outlineLevel="0" collapsed="false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</row>
    <row r="829" customFormat="false" ht="13.5" hidden="false" customHeight="true" outlineLevel="0" collapsed="false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</row>
    <row r="830" customFormat="false" ht="13.5" hidden="false" customHeight="true" outlineLevel="0" collapsed="false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</row>
    <row r="831" customFormat="false" ht="13.5" hidden="false" customHeight="true" outlineLevel="0" collapsed="false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</row>
    <row r="832" customFormat="false" ht="13.5" hidden="false" customHeight="true" outlineLevel="0" collapsed="false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</row>
    <row r="833" customFormat="false" ht="13.5" hidden="false" customHeight="true" outlineLevel="0" collapsed="false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</row>
    <row r="834" customFormat="false" ht="13.5" hidden="false" customHeight="true" outlineLevel="0" collapsed="false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</row>
    <row r="835" customFormat="false" ht="13.5" hidden="false" customHeight="true" outlineLevel="0" collapsed="false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</row>
    <row r="836" customFormat="false" ht="13.5" hidden="false" customHeight="true" outlineLevel="0" collapsed="false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</row>
    <row r="837" customFormat="false" ht="13.5" hidden="false" customHeight="true" outlineLevel="0" collapsed="false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</row>
    <row r="838" customFormat="false" ht="13.5" hidden="false" customHeight="true" outlineLevel="0" collapsed="false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</row>
    <row r="839" customFormat="false" ht="13.5" hidden="false" customHeight="true" outlineLevel="0" collapsed="false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</row>
    <row r="840" customFormat="false" ht="13.5" hidden="false" customHeight="true" outlineLevel="0" collapsed="false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</row>
    <row r="841" customFormat="false" ht="13.5" hidden="false" customHeight="true" outlineLevel="0" collapsed="false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</row>
    <row r="842" customFormat="false" ht="13.5" hidden="false" customHeight="true" outlineLevel="0" collapsed="false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</row>
    <row r="843" customFormat="false" ht="13.5" hidden="false" customHeight="true" outlineLevel="0" collapsed="false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</row>
    <row r="844" customFormat="false" ht="13.5" hidden="false" customHeight="true" outlineLevel="0" collapsed="false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</row>
    <row r="845" customFormat="false" ht="13.5" hidden="false" customHeight="true" outlineLevel="0" collapsed="false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</row>
    <row r="846" customFormat="false" ht="13.5" hidden="false" customHeight="true" outlineLevel="0" collapsed="false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</row>
    <row r="847" customFormat="false" ht="13.5" hidden="false" customHeight="true" outlineLevel="0" collapsed="false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</row>
    <row r="848" customFormat="false" ht="13.5" hidden="false" customHeight="true" outlineLevel="0" collapsed="false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</row>
    <row r="849" customFormat="false" ht="13.5" hidden="false" customHeight="true" outlineLevel="0" collapsed="false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</row>
    <row r="850" customFormat="false" ht="13.5" hidden="false" customHeight="true" outlineLevel="0" collapsed="false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</row>
    <row r="851" customFormat="false" ht="13.5" hidden="false" customHeight="true" outlineLevel="0" collapsed="false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</row>
    <row r="852" customFormat="false" ht="13.5" hidden="false" customHeight="true" outlineLevel="0" collapsed="false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</row>
    <row r="853" customFormat="false" ht="13.5" hidden="false" customHeight="true" outlineLevel="0" collapsed="false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</row>
    <row r="854" customFormat="false" ht="13.5" hidden="false" customHeight="true" outlineLevel="0" collapsed="false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</row>
    <row r="855" customFormat="false" ht="13.5" hidden="false" customHeight="true" outlineLevel="0" collapsed="false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</row>
    <row r="856" customFormat="false" ht="13.5" hidden="false" customHeight="true" outlineLevel="0" collapsed="false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</row>
    <row r="857" customFormat="false" ht="13.5" hidden="false" customHeight="true" outlineLevel="0" collapsed="false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</row>
    <row r="858" customFormat="false" ht="13.5" hidden="false" customHeight="true" outlineLevel="0" collapsed="false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</row>
    <row r="859" customFormat="false" ht="13.5" hidden="false" customHeight="true" outlineLevel="0" collapsed="false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</row>
    <row r="860" customFormat="false" ht="13.5" hidden="false" customHeight="true" outlineLevel="0" collapsed="false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</row>
    <row r="861" customFormat="false" ht="13.5" hidden="false" customHeight="true" outlineLevel="0" collapsed="false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</row>
    <row r="862" customFormat="false" ht="13.5" hidden="false" customHeight="true" outlineLevel="0" collapsed="false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</row>
    <row r="863" customFormat="false" ht="13.5" hidden="false" customHeight="true" outlineLevel="0" collapsed="false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</row>
    <row r="864" customFormat="false" ht="13.5" hidden="false" customHeight="true" outlineLevel="0" collapsed="false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</row>
    <row r="865" customFormat="false" ht="13.5" hidden="false" customHeight="true" outlineLevel="0" collapsed="false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</row>
    <row r="866" customFormat="false" ht="13.5" hidden="false" customHeight="true" outlineLevel="0" collapsed="false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</row>
    <row r="867" customFormat="false" ht="13.5" hidden="false" customHeight="true" outlineLevel="0" collapsed="false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</row>
    <row r="868" customFormat="false" ht="13.5" hidden="false" customHeight="true" outlineLevel="0" collapsed="false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</row>
    <row r="869" customFormat="false" ht="13.5" hidden="false" customHeight="true" outlineLevel="0" collapsed="false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</row>
    <row r="870" customFormat="false" ht="13.5" hidden="false" customHeight="true" outlineLevel="0" collapsed="false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</row>
    <row r="871" customFormat="false" ht="13.5" hidden="false" customHeight="true" outlineLevel="0" collapsed="false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</row>
    <row r="872" customFormat="false" ht="13.5" hidden="false" customHeight="true" outlineLevel="0" collapsed="false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</row>
    <row r="873" customFormat="false" ht="13.5" hidden="false" customHeight="true" outlineLevel="0" collapsed="false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</row>
    <row r="874" customFormat="false" ht="13.5" hidden="false" customHeight="true" outlineLevel="0" collapsed="false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</row>
    <row r="875" customFormat="false" ht="13.5" hidden="false" customHeight="true" outlineLevel="0" collapsed="false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</row>
    <row r="876" customFormat="false" ht="13.5" hidden="false" customHeight="true" outlineLevel="0" collapsed="false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</row>
    <row r="877" customFormat="false" ht="13.5" hidden="false" customHeight="true" outlineLevel="0" collapsed="false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</row>
    <row r="878" customFormat="false" ht="13.5" hidden="false" customHeight="true" outlineLevel="0" collapsed="false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</row>
    <row r="879" customFormat="false" ht="13.5" hidden="false" customHeight="true" outlineLevel="0" collapsed="false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</row>
    <row r="880" customFormat="false" ht="13.5" hidden="false" customHeight="true" outlineLevel="0" collapsed="false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</row>
    <row r="881" customFormat="false" ht="13.5" hidden="false" customHeight="true" outlineLevel="0" collapsed="false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</row>
    <row r="882" customFormat="false" ht="13.5" hidden="false" customHeight="true" outlineLevel="0" collapsed="false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</row>
    <row r="883" customFormat="false" ht="13.5" hidden="false" customHeight="true" outlineLevel="0" collapsed="false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</row>
    <row r="884" customFormat="false" ht="13.5" hidden="false" customHeight="true" outlineLevel="0" collapsed="false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</row>
    <row r="885" customFormat="false" ht="13.5" hidden="false" customHeight="true" outlineLevel="0" collapsed="false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</row>
    <row r="886" customFormat="false" ht="13.5" hidden="false" customHeight="true" outlineLevel="0" collapsed="false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</row>
    <row r="887" customFormat="false" ht="13.5" hidden="false" customHeight="true" outlineLevel="0" collapsed="false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</row>
    <row r="888" customFormat="false" ht="13.5" hidden="false" customHeight="true" outlineLevel="0" collapsed="false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</row>
    <row r="889" customFormat="false" ht="13.5" hidden="false" customHeight="true" outlineLevel="0" collapsed="false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</row>
    <row r="890" customFormat="false" ht="13.5" hidden="false" customHeight="true" outlineLevel="0" collapsed="false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</row>
    <row r="891" customFormat="false" ht="13.5" hidden="false" customHeight="true" outlineLevel="0" collapsed="false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</row>
    <row r="892" customFormat="false" ht="13.5" hidden="false" customHeight="true" outlineLevel="0" collapsed="false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</row>
    <row r="893" customFormat="false" ht="13.5" hidden="false" customHeight="true" outlineLevel="0" collapsed="false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</row>
    <row r="894" customFormat="false" ht="13.5" hidden="false" customHeight="true" outlineLevel="0" collapsed="false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</row>
    <row r="895" customFormat="false" ht="13.5" hidden="false" customHeight="true" outlineLevel="0" collapsed="false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</row>
    <row r="896" customFormat="false" ht="13.5" hidden="false" customHeight="true" outlineLevel="0" collapsed="false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</row>
    <row r="897" customFormat="false" ht="13.5" hidden="false" customHeight="true" outlineLevel="0" collapsed="false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</row>
    <row r="898" customFormat="false" ht="13.5" hidden="false" customHeight="true" outlineLevel="0" collapsed="false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</row>
    <row r="899" customFormat="false" ht="13.5" hidden="false" customHeight="true" outlineLevel="0" collapsed="false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</row>
    <row r="900" customFormat="false" ht="13.5" hidden="false" customHeight="true" outlineLevel="0" collapsed="false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</row>
    <row r="901" customFormat="false" ht="13.5" hidden="false" customHeight="true" outlineLevel="0" collapsed="false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</row>
    <row r="902" customFormat="false" ht="13.5" hidden="false" customHeight="true" outlineLevel="0" collapsed="false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</row>
    <row r="903" customFormat="false" ht="13.5" hidden="false" customHeight="true" outlineLevel="0" collapsed="false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</row>
    <row r="904" customFormat="false" ht="13.5" hidden="false" customHeight="true" outlineLevel="0" collapsed="false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</row>
    <row r="905" customFormat="false" ht="13.5" hidden="false" customHeight="true" outlineLevel="0" collapsed="false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</row>
    <row r="906" customFormat="false" ht="13.5" hidden="false" customHeight="true" outlineLevel="0" collapsed="false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</row>
    <row r="907" customFormat="false" ht="13.5" hidden="false" customHeight="true" outlineLevel="0" collapsed="false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</row>
    <row r="908" customFormat="false" ht="13.5" hidden="false" customHeight="true" outlineLevel="0" collapsed="false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</row>
    <row r="909" customFormat="false" ht="13.5" hidden="false" customHeight="true" outlineLevel="0" collapsed="false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</row>
    <row r="910" customFormat="false" ht="13.5" hidden="false" customHeight="true" outlineLevel="0" collapsed="false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</row>
    <row r="911" customFormat="false" ht="13.5" hidden="false" customHeight="true" outlineLevel="0" collapsed="false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</row>
    <row r="912" customFormat="false" ht="13.5" hidden="false" customHeight="true" outlineLevel="0" collapsed="false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</row>
    <row r="913" customFormat="false" ht="13.5" hidden="false" customHeight="true" outlineLevel="0" collapsed="false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</row>
    <row r="914" customFormat="false" ht="13.5" hidden="false" customHeight="true" outlineLevel="0" collapsed="false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</row>
    <row r="915" customFormat="false" ht="13.5" hidden="false" customHeight="true" outlineLevel="0" collapsed="false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</row>
    <row r="916" customFormat="false" ht="13.5" hidden="false" customHeight="true" outlineLevel="0" collapsed="false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</row>
    <row r="917" customFormat="false" ht="13.5" hidden="false" customHeight="true" outlineLevel="0" collapsed="false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</row>
    <row r="918" customFormat="false" ht="13.5" hidden="false" customHeight="true" outlineLevel="0" collapsed="false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</row>
    <row r="919" customFormat="false" ht="13.5" hidden="false" customHeight="true" outlineLevel="0" collapsed="false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</row>
    <row r="920" customFormat="false" ht="13.5" hidden="false" customHeight="true" outlineLevel="0" collapsed="false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</row>
    <row r="921" customFormat="false" ht="13.5" hidden="false" customHeight="true" outlineLevel="0" collapsed="false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</row>
    <row r="922" customFormat="false" ht="13.5" hidden="false" customHeight="true" outlineLevel="0" collapsed="false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</row>
    <row r="923" customFormat="false" ht="13.5" hidden="false" customHeight="true" outlineLevel="0" collapsed="false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</row>
    <row r="924" customFormat="false" ht="13.5" hidden="false" customHeight="true" outlineLevel="0" collapsed="false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</row>
    <row r="925" customFormat="false" ht="13.5" hidden="false" customHeight="true" outlineLevel="0" collapsed="false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</row>
    <row r="926" customFormat="false" ht="13.5" hidden="false" customHeight="true" outlineLevel="0" collapsed="false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</row>
    <row r="927" customFormat="false" ht="13.5" hidden="false" customHeight="true" outlineLevel="0" collapsed="false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</row>
    <row r="928" customFormat="false" ht="13.5" hidden="false" customHeight="true" outlineLevel="0" collapsed="false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</row>
    <row r="929" customFormat="false" ht="13.5" hidden="false" customHeight="true" outlineLevel="0" collapsed="false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</row>
    <row r="930" customFormat="false" ht="13.5" hidden="false" customHeight="true" outlineLevel="0" collapsed="false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</row>
    <row r="931" customFormat="false" ht="13.5" hidden="false" customHeight="true" outlineLevel="0" collapsed="false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</row>
    <row r="932" customFormat="false" ht="13.5" hidden="false" customHeight="true" outlineLevel="0" collapsed="false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</row>
    <row r="933" customFormat="false" ht="13.5" hidden="false" customHeight="true" outlineLevel="0" collapsed="false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</row>
    <row r="934" customFormat="false" ht="13.5" hidden="false" customHeight="true" outlineLevel="0" collapsed="false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</row>
    <row r="935" customFormat="false" ht="13.5" hidden="false" customHeight="true" outlineLevel="0" collapsed="false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</row>
    <row r="936" customFormat="false" ht="13.5" hidden="false" customHeight="true" outlineLevel="0" collapsed="false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</row>
    <row r="937" customFormat="false" ht="13.5" hidden="false" customHeight="true" outlineLevel="0" collapsed="false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</row>
    <row r="938" customFormat="false" ht="13.5" hidden="false" customHeight="true" outlineLevel="0" collapsed="false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</row>
    <row r="939" customFormat="false" ht="13.5" hidden="false" customHeight="true" outlineLevel="0" collapsed="false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</row>
    <row r="940" customFormat="false" ht="13.5" hidden="false" customHeight="true" outlineLevel="0" collapsed="false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</row>
    <row r="941" customFormat="false" ht="13.5" hidden="false" customHeight="true" outlineLevel="0" collapsed="false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</row>
    <row r="942" customFormat="false" ht="13.5" hidden="false" customHeight="true" outlineLevel="0" collapsed="false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</row>
    <row r="943" customFormat="false" ht="13.5" hidden="false" customHeight="true" outlineLevel="0" collapsed="false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</row>
    <row r="944" customFormat="false" ht="13.5" hidden="false" customHeight="true" outlineLevel="0" collapsed="false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</row>
    <row r="945" customFormat="false" ht="13.5" hidden="false" customHeight="true" outlineLevel="0" collapsed="false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</row>
    <row r="946" customFormat="false" ht="13.5" hidden="false" customHeight="true" outlineLevel="0" collapsed="false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</row>
    <row r="947" customFormat="false" ht="13.5" hidden="false" customHeight="true" outlineLevel="0" collapsed="false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</row>
    <row r="948" customFormat="false" ht="13.5" hidden="false" customHeight="true" outlineLevel="0" collapsed="false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</row>
    <row r="949" customFormat="false" ht="13.5" hidden="false" customHeight="true" outlineLevel="0" collapsed="false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</row>
    <row r="950" customFormat="false" ht="13.5" hidden="false" customHeight="true" outlineLevel="0" collapsed="false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</row>
    <row r="951" customFormat="false" ht="13.5" hidden="false" customHeight="true" outlineLevel="0" collapsed="false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</row>
    <row r="952" customFormat="false" ht="13.5" hidden="false" customHeight="true" outlineLevel="0" collapsed="false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</row>
    <row r="953" customFormat="false" ht="13.5" hidden="false" customHeight="true" outlineLevel="0" collapsed="false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</row>
    <row r="954" customFormat="false" ht="13.5" hidden="false" customHeight="true" outlineLevel="0" collapsed="false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</row>
    <row r="955" customFormat="false" ht="13.5" hidden="false" customHeight="true" outlineLevel="0" collapsed="false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</row>
    <row r="956" customFormat="false" ht="13.5" hidden="false" customHeight="true" outlineLevel="0" collapsed="false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</row>
    <row r="957" customFormat="false" ht="13.5" hidden="false" customHeight="true" outlineLevel="0" collapsed="false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</row>
    <row r="958" customFormat="false" ht="13.5" hidden="false" customHeight="true" outlineLevel="0" collapsed="false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</row>
    <row r="959" customFormat="false" ht="13.5" hidden="false" customHeight="true" outlineLevel="0" collapsed="false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</row>
    <row r="960" customFormat="false" ht="13.5" hidden="false" customHeight="true" outlineLevel="0" collapsed="false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</row>
    <row r="961" customFormat="false" ht="13.5" hidden="false" customHeight="true" outlineLevel="0" collapsed="false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</row>
    <row r="962" customFormat="false" ht="13.5" hidden="false" customHeight="true" outlineLevel="0" collapsed="false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</row>
    <row r="963" customFormat="false" ht="13.5" hidden="false" customHeight="true" outlineLevel="0" collapsed="false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</row>
    <row r="964" customFormat="false" ht="13.5" hidden="false" customHeight="true" outlineLevel="0" collapsed="false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</row>
    <row r="965" customFormat="false" ht="13.5" hidden="false" customHeight="true" outlineLevel="0" collapsed="false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</row>
    <row r="966" customFormat="false" ht="13.5" hidden="false" customHeight="true" outlineLevel="0" collapsed="false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</row>
    <row r="967" customFormat="false" ht="13.5" hidden="false" customHeight="true" outlineLevel="0" collapsed="false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</row>
    <row r="968" customFormat="false" ht="13.5" hidden="false" customHeight="true" outlineLevel="0" collapsed="false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</row>
    <row r="969" customFormat="false" ht="13.5" hidden="false" customHeight="true" outlineLevel="0" collapsed="false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</row>
    <row r="970" customFormat="false" ht="13.5" hidden="false" customHeight="true" outlineLevel="0" collapsed="false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</row>
    <row r="971" customFormat="false" ht="13.5" hidden="false" customHeight="true" outlineLevel="0" collapsed="false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</row>
    <row r="972" customFormat="false" ht="13.5" hidden="false" customHeight="true" outlineLevel="0" collapsed="false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</row>
    <row r="973" customFormat="false" ht="13.5" hidden="false" customHeight="true" outlineLevel="0" collapsed="false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</row>
    <row r="974" customFormat="false" ht="13.5" hidden="false" customHeight="true" outlineLevel="0" collapsed="false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</row>
    <row r="975" customFormat="false" ht="13.5" hidden="false" customHeight="true" outlineLevel="0" collapsed="false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</row>
    <row r="976" customFormat="false" ht="13.5" hidden="false" customHeight="true" outlineLevel="0" collapsed="false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</row>
    <row r="977" customFormat="false" ht="13.5" hidden="false" customHeight="true" outlineLevel="0" collapsed="false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</row>
    <row r="978" customFormat="false" ht="13.5" hidden="false" customHeight="true" outlineLevel="0" collapsed="false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</row>
    <row r="979" customFormat="false" ht="13.5" hidden="false" customHeight="true" outlineLevel="0" collapsed="false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</row>
    <row r="980" customFormat="false" ht="13.5" hidden="false" customHeight="true" outlineLevel="0" collapsed="false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</row>
    <row r="981" customFormat="false" ht="13.5" hidden="false" customHeight="true" outlineLevel="0" collapsed="false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</row>
    <row r="982" customFormat="false" ht="13.5" hidden="false" customHeight="true" outlineLevel="0" collapsed="false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</row>
    <row r="983" customFormat="false" ht="13.5" hidden="false" customHeight="true" outlineLevel="0" collapsed="false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</row>
    <row r="984" customFormat="false" ht="13.5" hidden="false" customHeight="true" outlineLevel="0" collapsed="false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</row>
    <row r="985" customFormat="false" ht="13.5" hidden="false" customHeight="true" outlineLevel="0" collapsed="false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</row>
    <row r="986" customFormat="false" ht="13.5" hidden="false" customHeight="true" outlineLevel="0" collapsed="false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</row>
    <row r="987" customFormat="false" ht="13.5" hidden="false" customHeight="true" outlineLevel="0" collapsed="false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</row>
    <row r="988" customFormat="false" ht="13.5" hidden="false" customHeight="true" outlineLevel="0" collapsed="false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</row>
    <row r="989" customFormat="false" ht="13.5" hidden="false" customHeight="true" outlineLevel="0" collapsed="false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</row>
    <row r="990" customFormat="false" ht="13.5" hidden="false" customHeight="true" outlineLevel="0" collapsed="false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</row>
    <row r="991" customFormat="false" ht="13.5" hidden="false" customHeight="true" outlineLevel="0" collapsed="false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</row>
    <row r="992" customFormat="false" ht="13.5" hidden="false" customHeight="true" outlineLevel="0" collapsed="false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</row>
    <row r="993" customFormat="false" ht="13.5" hidden="false" customHeight="true" outlineLevel="0" collapsed="false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</row>
    <row r="994" customFormat="false" ht="13.5" hidden="false" customHeight="true" outlineLevel="0" collapsed="false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</row>
    <row r="995" customFormat="false" ht="13.5" hidden="false" customHeight="true" outlineLevel="0" collapsed="false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</row>
    <row r="996" customFormat="false" ht="13.5" hidden="false" customHeight="true" outlineLevel="0" collapsed="false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</row>
    <row r="997" customFormat="false" ht="13.5" hidden="false" customHeight="true" outlineLevel="0" collapsed="false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</row>
    <row r="998" customFormat="false" ht="13.5" hidden="false" customHeight="true" outlineLevel="0" collapsed="false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</row>
    <row r="999" customFormat="false" ht="13.5" hidden="false" customHeight="true" outlineLevel="0" collapsed="false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</row>
  </sheetData>
  <mergeCells count="12">
    <mergeCell ref="A1:I1"/>
    <mergeCell ref="A2:I2"/>
    <mergeCell ref="A4:I4"/>
    <mergeCell ref="A21:C21"/>
    <mergeCell ref="A24:I24"/>
    <mergeCell ref="A45:I45"/>
    <mergeCell ref="A58:C58"/>
    <mergeCell ref="A61:I61"/>
    <mergeCell ref="A62:C62"/>
    <mergeCell ref="A63:C63"/>
    <mergeCell ref="A64:C64"/>
    <mergeCell ref="A65:C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0"/>
  <sheetViews>
    <sheetView showFormulas="false" showGridLines="fals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B20" activeCellId="0" sqref="B20"/>
    </sheetView>
  </sheetViews>
  <sheetFormatPr defaultColWidth="12.6328125" defaultRowHeight="14.25" zeroHeight="false" outlineLevelRow="0" outlineLevelCol="0"/>
  <cols>
    <col collapsed="false" customWidth="true" hidden="false" outlineLevel="0" max="1" min="1" style="0" width="41.36"/>
    <col collapsed="false" customWidth="true" hidden="false" outlineLevel="0" max="2" min="2" style="0" width="35.45"/>
    <col collapsed="false" customWidth="true" hidden="false" outlineLevel="0" max="3" min="3" style="0" width="33.54"/>
    <col collapsed="false" customWidth="true" hidden="false" outlineLevel="0" max="4" min="4" style="0" width="32.63"/>
    <col collapsed="false" customWidth="true" hidden="false" outlineLevel="0" max="5" min="5" style="0" width="30"/>
    <col collapsed="false" customWidth="true" hidden="false" outlineLevel="0" max="6" min="6" style="0" width="23.63"/>
    <col collapsed="false" customWidth="true" hidden="false" outlineLevel="0" max="7" min="7" style="0" width="23"/>
    <col collapsed="false" customWidth="true" hidden="false" outlineLevel="0" max="8" min="8" style="0" width="22.63"/>
    <col collapsed="false" customWidth="true" hidden="false" outlineLevel="0" max="9" min="9" style="0" width="30"/>
    <col collapsed="false" customWidth="true" hidden="false" outlineLevel="0" max="10" min="10" style="0" width="25.36"/>
    <col collapsed="false" customWidth="true" hidden="false" outlineLevel="0" max="12" min="11" style="0" width="18"/>
    <col collapsed="false" customWidth="true" hidden="false" outlineLevel="0" max="24" min="13" style="0" width="8.63"/>
  </cols>
  <sheetData>
    <row r="1" customFormat="false" ht="24" hidden="false" customHeight="true" outlineLevel="0" collapsed="false">
      <c r="A1" s="125" t="s">
        <v>518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27.75" hidden="false" customHeight="true" outlineLevel="0" collapsed="false">
      <c r="A2" s="126" t="s">
        <v>519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24" hidden="false" customHeight="true" outlineLevel="0" collapsed="false">
      <c r="A3" s="127" t="s">
        <v>520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7.25" hidden="false" customHeight="true" outlineLevel="0" collapsed="false">
      <c r="A4" s="128" t="s">
        <v>521</v>
      </c>
      <c r="B4" s="128"/>
      <c r="C4" s="128"/>
      <c r="D4" s="128"/>
      <c r="E4" s="12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7.25" hidden="false" customHeight="true" outlineLevel="0" collapsed="false">
      <c r="A5" s="5" t="s">
        <v>522</v>
      </c>
      <c r="B5" s="5" t="s">
        <v>84</v>
      </c>
      <c r="C5" s="5" t="s">
        <v>523</v>
      </c>
      <c r="D5" s="5" t="s">
        <v>79</v>
      </c>
      <c r="E5" s="129" t="s">
        <v>524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7.25" hidden="false" customHeight="true" outlineLevel="0" collapsed="false">
      <c r="A6" s="17" t="s">
        <v>525</v>
      </c>
      <c r="B6" s="17" t="s">
        <v>108</v>
      </c>
      <c r="C6" s="130" t="n">
        <f aca="false">D23</f>
        <v>45000</v>
      </c>
      <c r="D6" s="130" t="n">
        <f aca="false">G23</f>
        <v>70000</v>
      </c>
      <c r="E6" s="131" t="n">
        <f aca="false">J23</f>
        <v>100000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7.25" hidden="false" customHeight="true" outlineLevel="0" collapsed="false">
      <c r="A7" s="17" t="s">
        <v>526</v>
      </c>
      <c r="B7" s="17" t="s">
        <v>113</v>
      </c>
      <c r="C7" s="132" t="n">
        <f aca="false">'DIA_Giả Định'!$G$8</f>
        <v>0.05</v>
      </c>
      <c r="D7" s="132" t="n">
        <f aca="false">'DIA_Giả Định'!$J$8</f>
        <v>0.06</v>
      </c>
      <c r="E7" s="133" t="n">
        <f aca="false">'DIA_Giả Định'!$M$8</f>
        <v>0.07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7.25" hidden="false" customHeight="true" outlineLevel="0" collapsed="false">
      <c r="A8" s="17" t="s">
        <v>527</v>
      </c>
      <c r="B8" s="17" t="s">
        <v>155</v>
      </c>
      <c r="C8" s="130" t="n">
        <f aca="false">D26</f>
        <v>21</v>
      </c>
      <c r="D8" s="130" t="n">
        <f aca="false">G26</f>
        <v>40</v>
      </c>
      <c r="E8" s="131" t="n">
        <f aca="false">J26</f>
        <v>55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32.25" hidden="false" customHeight="true" outlineLevel="0" collapsed="false">
      <c r="A9" s="17" t="s">
        <v>528</v>
      </c>
      <c r="B9" s="17" t="s">
        <v>487</v>
      </c>
      <c r="C9" s="134" t="n">
        <f aca="false">SUM(B32:D32)</f>
        <v>3306842244.97695</v>
      </c>
      <c r="D9" s="134" t="n">
        <f aca="false">SUM(E32:G32)</f>
        <v>5532663645.0008</v>
      </c>
      <c r="E9" s="76" t="n">
        <f aca="false">SUM(H32:J32)</f>
        <v>10923369395.5523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32.25" hidden="false" customHeight="true" outlineLevel="0" collapsed="false">
      <c r="A10" s="17" t="s">
        <v>529</v>
      </c>
      <c r="B10" s="17" t="s">
        <v>487</v>
      </c>
      <c r="C10" s="134" t="n">
        <f aca="false">SUM(B35:D35)</f>
        <v>-4500108695.02305</v>
      </c>
      <c r="D10" s="134" t="n">
        <f aca="false">SUM(E35:G35)</f>
        <v>-4637685526.2532</v>
      </c>
      <c r="E10" s="76" t="n">
        <f aca="false">SUM(H35:J35)</f>
        <v>-4458850622.2877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32.25" hidden="false" customHeight="true" outlineLevel="0" collapsed="false">
      <c r="A11" s="17" t="s">
        <v>530</v>
      </c>
      <c r="B11" s="17" t="s">
        <v>487</v>
      </c>
      <c r="C11" s="134" t="n">
        <f aca="false">SUM(B39:D39)</f>
        <v>-5598908695.02305</v>
      </c>
      <c r="D11" s="134" t="n">
        <f aca="false">SUM(E39:G39)</f>
        <v>-5806335526.2532</v>
      </c>
      <c r="E11" s="76" t="n">
        <f aca="false">SUM(H39:J39)</f>
        <v>-5726800622.2877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32.25" hidden="false" customHeight="true" outlineLevel="0" collapsed="false">
      <c r="A12" s="17" t="s">
        <v>531</v>
      </c>
      <c r="B12" s="17" t="s">
        <v>487</v>
      </c>
      <c r="C12" s="134" t="n">
        <f aca="false">B46</f>
        <v>-3348287175.01237</v>
      </c>
      <c r="D12" s="134" t="n">
        <f aca="false">E46</f>
        <v>-3799446167.85222</v>
      </c>
      <c r="E12" s="135" t="n">
        <f aca="false">H46</f>
        <v>-4441121775.26763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7.25" hidden="false" customHeight="true" outlineLevel="0" collapsed="false">
      <c r="A13" s="17" t="s">
        <v>532</v>
      </c>
      <c r="B13" s="17" t="s">
        <v>113</v>
      </c>
      <c r="C13" s="132" t="n">
        <f aca="false">B47</f>
        <v>0</v>
      </c>
      <c r="D13" s="132" t="n">
        <f aca="false">E47</f>
        <v>0</v>
      </c>
      <c r="E13" s="133" t="n">
        <f aca="false">H47</f>
        <v>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7.25" hidden="false" customHeight="true" outlineLevel="0" collapsed="false">
      <c r="A14" s="17" t="s">
        <v>533</v>
      </c>
      <c r="B14" s="17" t="s">
        <v>259</v>
      </c>
      <c r="C14" s="17" t="str">
        <f aca="false">B48</f>
        <v>&gt;3 năm</v>
      </c>
      <c r="D14" s="17" t="str">
        <f aca="false">E48</f>
        <v>&gt;3 năm</v>
      </c>
      <c r="E14" s="76" t="str">
        <f aca="false">H48</f>
        <v>&gt;3 năm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7.25" hidden="false" customHeight="true" outlineLevel="0" collapsed="false">
      <c r="A15" s="17" t="s">
        <v>534</v>
      </c>
      <c r="B15" s="17" t="s">
        <v>487</v>
      </c>
      <c r="C15" s="134" t="n">
        <f aca="false">B49</f>
        <v>4460551956.01844</v>
      </c>
      <c r="D15" s="134" t="n">
        <f aca="false">E49</f>
        <v>4908443421.00256</v>
      </c>
      <c r="E15" s="135" t="n">
        <f aca="false">H49</f>
        <v>5444165497.83016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3.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3.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3.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3.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7.25" hidden="false" customHeight="true" outlineLevel="0" collapsed="false">
      <c r="A20" s="136"/>
      <c r="B20" s="137" t="s">
        <v>535</v>
      </c>
      <c r="C20" s="137"/>
      <c r="D20" s="137"/>
      <c r="E20" s="137" t="s">
        <v>536</v>
      </c>
      <c r="F20" s="137"/>
      <c r="G20" s="137"/>
      <c r="H20" s="137" t="s">
        <v>537</v>
      </c>
      <c r="I20" s="137"/>
      <c r="J20" s="13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7.25" hidden="false" customHeight="true" outlineLevel="0" collapsed="false">
      <c r="A21" s="138" t="s">
        <v>522</v>
      </c>
      <c r="B21" s="138" t="s">
        <v>468</v>
      </c>
      <c r="C21" s="138" t="s">
        <v>470</v>
      </c>
      <c r="D21" s="138" t="s">
        <v>472</v>
      </c>
      <c r="E21" s="138" t="s">
        <v>468</v>
      </c>
      <c r="F21" s="138" t="s">
        <v>470</v>
      </c>
      <c r="G21" s="138" t="s">
        <v>472</v>
      </c>
      <c r="H21" s="138" t="s">
        <v>468</v>
      </c>
      <c r="I21" s="138" t="s">
        <v>470</v>
      </c>
      <c r="J21" s="138" t="s">
        <v>472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7.25" hidden="false" customHeight="true" outlineLevel="0" collapsed="false">
      <c r="A22" s="139" t="s">
        <v>538</v>
      </c>
      <c r="B22" s="140" t="n">
        <f aca="false">'DIA_Giả Định'!$E$90*'DIA_Giả Định'!$E$91+'DIA_Giả Định'!$E$92*'DIA_Giả Định'!$E$93+'DIA_Giả Định'!$E$94*'DIA_Giả Định'!$E$95+'DIA_Giả Định'!$E$96*'DIA_Giả Định'!$E$97+'DIA_Giả Định'!$E$98*'DIA_Giả Định'!$E$99+'DIA_Giả Định'!$E$100*'DIA_Giả Định'!$E$101+'DIA_Giả Định'!$E$102*'DIA_Giả Định'!$E$103+'DIA_Giả Định'!$E$104*'DIA_Giả Định'!$E$105+'DIA_Giả Định'!$E$106*'DIA_Giả Định'!$E$107+'DIA_Giả Định'!$E$108*'DIA_Giả Định'!$E$109+'DIA_Giả Định'!$E$110*'DIA_Giả Định'!$E$111+'DIA_Giả Định'!$E$112*'DIA_Giả Định'!$E$113+'DIA_Giả Định'!$E$114*'DIA_Giả Định'!$E$115+'DIA_Giả Định'!$E$116*'DIA_Giả Định'!$E$117+'DIA_Giả Định'!$E$118*'DIA_Giả Định'!$E$119</f>
        <v>684600000</v>
      </c>
      <c r="C22" s="140" t="n">
        <v>0</v>
      </c>
      <c r="D22" s="140" t="n">
        <v>0</v>
      </c>
      <c r="E22" s="140" t="n">
        <f aca="false">'DIA_Giả Định'!$H$90*'DIA_Giả Định'!$H$91+'DIA_Giả Định'!$H$92*'DIA_Giả Định'!$H$93+'DIA_Giả Định'!$H$94*'DIA_Giả Định'!$H$95+'DIA_Giả Định'!$H$96*'DIA_Giả Định'!$H$97+'DIA_Giả Định'!$H$98*'DIA_Giả Định'!$H$99+'DIA_Giả Định'!$H$100*'DIA_Giả Định'!$H$101+'DIA_Giả Định'!$H$102*'DIA_Giả Định'!$H$103+'DIA_Giả Định'!$H$104*'DIA_Giả Định'!$H$105+'DIA_Giả Định'!$H$106*'DIA_Giả Định'!$H$107+'DIA_Giả Định'!$H$108*'DIA_Giả Định'!$H$109+'DIA_Giả Định'!$H$110*'DIA_Giả Định'!$H$111+'DIA_Giả Định'!$H$112*'DIA_Giả Định'!$H$113+'DIA_Giả Định'!$H$114*'DIA_Giả Định'!$H$115+'DIA_Giả Định'!$H$116*'DIA_Giả Định'!$H$117+'DIA_Giả Định'!$H$118*'DIA_Giả Định'!$H$119</f>
        <v>880400000</v>
      </c>
      <c r="F22" s="140" t="n">
        <v>0</v>
      </c>
      <c r="G22" s="140" t="n">
        <v>0</v>
      </c>
      <c r="H22" s="140" t="n">
        <f aca="false">'DIA_Giả Định'!$K$90*'DIA_Giả Định'!$K$91+'DIA_Giả Định'!$K$92*'DIA_Giả Định'!$K$93+'DIA_Giả Định'!$K$94*'DIA_Giả Định'!$K$95+'DIA_Giả Định'!$K$96*'DIA_Giả Định'!$K$97+'DIA_Giả Định'!$K$98*'DIA_Giả Định'!$K$99+'DIA_Giả Định'!$K$100*'DIA_Giả Định'!$K$101+'DIA_Giả Định'!$K$102*'DIA_Giả Định'!$K$103+'DIA_Giả Định'!$K$104*'DIA_Giả Định'!$K$105+'DIA_Giả Định'!$K$106*'DIA_Giả Định'!$K$107+'DIA_Giả Định'!$K$108*'DIA_Giả Định'!$K$109+'DIA_Giả Định'!$K$110*'DIA_Giả Định'!$K$111+'DIA_Giả Định'!$K$112*'DIA_Giả Định'!$K$113+'DIA_Giả Định'!$K$114*'DIA_Giả Định'!$K$115+'DIA_Giả Định'!$K$116*'DIA_Giả Định'!$K$117+'DIA_Giả Định'!$K$118*'DIA_Giả Định'!$K$119</f>
        <v>1086050000</v>
      </c>
      <c r="I22" s="140" t="n">
        <v>0</v>
      </c>
      <c r="J22" s="140" t="n"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7.25" hidden="false" customHeight="true" outlineLevel="0" collapsed="false">
      <c r="A23" s="139" t="s">
        <v>539</v>
      </c>
      <c r="B23" s="141" t="n">
        <f aca="false">'DIA_Giả Định'!$E$6</f>
        <v>20000</v>
      </c>
      <c r="C23" s="141" t="n">
        <f aca="false">'DIA_Giả Định'!$F$6</f>
        <v>30000</v>
      </c>
      <c r="D23" s="141" t="n">
        <f aca="false">'DIA_Giả Định'!$G$6</f>
        <v>45000</v>
      </c>
      <c r="E23" s="141" t="n">
        <f aca="false">'DIA_Giả Định'!$H$6</f>
        <v>40000</v>
      </c>
      <c r="F23" s="141" t="n">
        <f aca="false">'DIA_Giả Định'!$I$6</f>
        <v>50000</v>
      </c>
      <c r="G23" s="141" t="n">
        <f aca="false">'DIA_Giả Định'!$J$6</f>
        <v>70000</v>
      </c>
      <c r="H23" s="141" t="n">
        <f aca="false">'DIA_Giả Định'!$K$6</f>
        <v>50000</v>
      </c>
      <c r="I23" s="141" t="n">
        <f aca="false">'DIA_Giả Định'!$L$6</f>
        <v>70000</v>
      </c>
      <c r="J23" s="141" t="n">
        <f aca="false">'DIA_Giả Định'!$M$6</f>
        <v>100000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7.25" hidden="false" customHeight="true" outlineLevel="0" collapsed="false">
      <c r="A24" s="139" t="s">
        <v>540</v>
      </c>
      <c r="B24" s="141" t="n">
        <f aca="false">('DIA_Giả Định'!$E$6*'DIA_Giả Định'!$E$7)</f>
        <v>6000</v>
      </c>
      <c r="C24" s="141" t="n">
        <f aca="false">('DIA_Giả Định'!$F$6*'DIA_Giả Định'!$F$7)</f>
        <v>12000</v>
      </c>
      <c r="D24" s="141" t="n">
        <f aca="false">('DIA_Giả Định'!$G$6*'DIA_Giả Định'!$G$7)</f>
        <v>22500</v>
      </c>
      <c r="E24" s="141" t="n">
        <f aca="false">('DIA_Giả Định'!$H$6*'DIA_Giả Định'!$H$7)</f>
        <v>14000</v>
      </c>
      <c r="F24" s="141" t="n">
        <f aca="false">('DIA_Giả Định'!$I$6*'DIA_Giả Định'!$I$7)</f>
        <v>22500</v>
      </c>
      <c r="G24" s="141" t="n">
        <f aca="false">('DIA_Giả Định'!$J$6*'DIA_Giả Định'!$J$7)</f>
        <v>38500</v>
      </c>
      <c r="H24" s="141" t="n">
        <f aca="false">('DIA_Giả Định'!$K$6*'DIA_Giả Định'!$K$7)</f>
        <v>20000</v>
      </c>
      <c r="I24" s="141" t="n">
        <f aca="false">('DIA_Giả Định'!$L$6*'DIA_Giả Định'!$L$7)</f>
        <v>35000</v>
      </c>
      <c r="J24" s="141" t="n">
        <f aca="false">('DIA_Giả Định'!$M$6*'DIA_Giả Định'!$M$7)</f>
        <v>60000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7.25" hidden="false" customHeight="true" outlineLevel="0" collapsed="false">
      <c r="A25" s="139" t="s">
        <v>541</v>
      </c>
      <c r="B25" s="141" t="n">
        <f aca="false">('DIA_Giả Định'!$E$6*'DIA_Giả Định'!$E$8)</f>
        <v>600</v>
      </c>
      <c r="C25" s="141" t="n">
        <f aca="false">('DIA_Giả Định'!$F$6*'DIA_Giả Định'!$F$8)</f>
        <v>1200</v>
      </c>
      <c r="D25" s="141" t="n">
        <f aca="false">('DIA_Giả Định'!$G$6*'DIA_Giả Định'!$G$8)</f>
        <v>2250</v>
      </c>
      <c r="E25" s="141" t="n">
        <f aca="false">('DIA_Giả Định'!$H$6*'DIA_Giả Định'!$H$8)</f>
        <v>1600</v>
      </c>
      <c r="F25" s="141" t="n">
        <f aca="false">('DIA_Giả Định'!$I$6*'DIA_Giả Định'!$I$8)</f>
        <v>2500</v>
      </c>
      <c r="G25" s="141" t="n">
        <f aca="false">('DIA_Giả Định'!$J$6*'DIA_Giả Định'!$J$8)</f>
        <v>4200</v>
      </c>
      <c r="H25" s="141" t="n">
        <f aca="false">('DIA_Giả Định'!$K$6*'DIA_Giả Định'!$K$8)</f>
        <v>2500</v>
      </c>
      <c r="I25" s="141" t="n">
        <f aca="false">('DIA_Giả Định'!$L$6*'DIA_Giả Định'!$L$8)</f>
        <v>4200</v>
      </c>
      <c r="J25" s="141" t="n">
        <f aca="false">('DIA_Giả Định'!$M$6*'DIA_Giả Định'!$M$8)</f>
        <v>7000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7.25" hidden="false" customHeight="true" outlineLevel="0" collapsed="false">
      <c r="A26" s="139" t="s">
        <v>542</v>
      </c>
      <c r="B26" s="141" t="n">
        <f aca="false">'DIA_Giả Định'!$E$25+'DIA_Giả Định'!$E$26</f>
        <v>4</v>
      </c>
      <c r="C26" s="141" t="n">
        <f aca="false">'DIA_Giả Định'!$F$25+'DIA_Giả Định'!$F$26</f>
        <v>13</v>
      </c>
      <c r="D26" s="141" t="n">
        <f aca="false">'DIA_Giả Định'!$G$25+'DIA_Giả Định'!$G$26</f>
        <v>21</v>
      </c>
      <c r="E26" s="141" t="n">
        <f aca="false">'DIA_Giả Định'!$H$25+'DIA_Giả Định'!$H$26</f>
        <v>7</v>
      </c>
      <c r="F26" s="141" t="n">
        <f aca="false">'DIA_Giả Định'!$I$25+'DIA_Giả Định'!$I$26</f>
        <v>20</v>
      </c>
      <c r="G26" s="141" t="n">
        <f aca="false">'DIA_Giả Định'!$J$25+'DIA_Giả Định'!$J$26</f>
        <v>40</v>
      </c>
      <c r="H26" s="141" t="n">
        <f aca="false">'DIA_Giả Định'!$K$25+'DIA_Giả Định'!$K$26</f>
        <v>11</v>
      </c>
      <c r="I26" s="141" t="n">
        <f aca="false">'DIA_Giả Định'!$L$25+'DIA_Giả Định'!$L$26</f>
        <v>30</v>
      </c>
      <c r="J26" s="141" t="n">
        <f aca="false">'DIA_Giả Định'!$M$25+'DIA_Giả Định'!$M$26</f>
        <v>55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7.25" hidden="false" customHeight="true" outlineLevel="0" collapsed="false">
      <c r="A27" s="139" t="s">
        <v>543</v>
      </c>
      <c r="B27" s="141" t="n">
        <f aca="false">(('DIA_Giả Định'!$E$25*'DIA_Giả Định'!$E$30)*'DIA_Giả Định'!$E$37*'DIA_Giả Định'!$E$5+('DIA_Giả Định'!$E$26*'DIA_Giả Định'!$E$30)*'DIA_Giả Định'!$E$37*'DIA_Giả Định'!$E$5)</f>
        <v>19176000</v>
      </c>
      <c r="C27" s="141" t="n">
        <f aca="false">(('DIA_Giả Định'!$F$25*'DIA_Giả Định'!$F$30)*'DIA_Giả Định'!$F$37*'DIA_Giả Định'!$F$5+('DIA_Giả Định'!$F$26*'DIA_Giả Định'!$F$30)*'DIA_Giả Định'!$F$37*'DIA_Giả Định'!$F$5)</f>
        <v>205860787.648304</v>
      </c>
      <c r="D27" s="141" t="n">
        <f aca="false">(('DIA_Giả Định'!$G$25*'DIA_Giả Định'!$G$30)*'DIA_Giả Định'!$G$37*'DIA_Giả Định'!$G$5+('DIA_Giả Định'!$G$26*'DIA_Giả Định'!$G$30)*'DIA_Giả Định'!$G$37*'DIA_Giả Định'!$G$5)</f>
        <v>1098453863.32865</v>
      </c>
      <c r="E27" s="141" t="n">
        <f aca="false">(('DIA_Giả Định'!$H$25*'DIA_Giả Định'!$H$30)*'DIA_Giả Định'!$H$37*'DIA_Giả Định'!$H$5+('DIA_Giả Định'!$H$26*'DIA_Giả Định'!$H$30)*'DIA_Giả Định'!$H$37*'DIA_Giả Định'!$H$5)</f>
        <v>37758000</v>
      </c>
      <c r="F27" s="141" t="n">
        <f aca="false">(('DIA_Giả Định'!$I$25*'DIA_Giả Định'!$I$30)*'DIA_Giả Định'!$I$37*'DIA_Giả Định'!$I$5+('DIA_Giả Định'!$I$26*'DIA_Giả Định'!$I$30)*'DIA_Giả Định'!$I$37*'DIA_Giả Định'!$I$5)</f>
        <v>119175036</v>
      </c>
      <c r="G27" s="141" t="n">
        <f aca="false">(('DIA_Giả Định'!$J$25*'DIA_Giả Định'!$J$30)*'DIA_Giả Định'!$J$37*'DIA_Giả Định'!$J$5+('DIA_Giả Định'!$J$26*'DIA_Giả Định'!$J$30)*'DIA_Giả Định'!$J$37*'DIA_Giả Định'!$J$5)</f>
        <v>263305324.5384</v>
      </c>
      <c r="H27" s="141" t="n">
        <f aca="false">(('DIA_Giả Định'!$K$25*'DIA_Giả Định'!$K$30)*'DIA_Giả Định'!$K$37*'DIA_Giả Định'!$K$5+('DIA_Giả Định'!$K$26*'DIA_Giả Định'!$K$30)*'DIA_Giả Định'!$K$37*'DIA_Giả Định'!$K$5)</f>
        <v>65934000</v>
      </c>
      <c r="I27" s="141" t="n">
        <f aca="false">(('DIA_Giả Định'!$L$25*'DIA_Giả Định'!$L$30)*'DIA_Giả Định'!$L$37*'DIA_Giả Định'!$L$5+('DIA_Giả Định'!$L$26*'DIA_Giả Định'!$L$30)*'DIA_Giả Định'!$L$37*'DIA_Giả Định'!$L$5)</f>
        <v>198647154</v>
      </c>
      <c r="J27" s="141" t="n">
        <f aca="false">(('DIA_Giả Định'!$M$25*'DIA_Giả Định'!$M$30)*'DIA_Giả Định'!$M$37*'DIA_Giả Định'!$M$5+('DIA_Giả Định'!$M$26*'DIA_Giả Định'!$M$30)*'DIA_Giả Định'!$M$37*'DIA_Giả Định'!$M$5)</f>
        <v>402316770.2103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32.25" hidden="false" customHeight="true" outlineLevel="0" collapsed="false">
      <c r="A28" s="139" t="s">
        <v>544</v>
      </c>
      <c r="B28" s="140" t="n">
        <f aca="false">(('DIA_Giả Định'!$E$6*'DIA_Giả Định'!$E$8)*'DIA_Giả Định'!$E$9*'DIA_Giả Định'!$E$35*'DIA_Giả Định'!$E$5+('DIA_Giả Định'!$E$6*'DIA_Giả Định'!$E$8)*'DIA_Giả Định'!$E$10*'DIA_Giả Định'!$E$36)</f>
        <v>201450000</v>
      </c>
      <c r="C28" s="140" t="n">
        <f aca="false">(('DIA_Giả Định'!$F$6*'DIA_Giả Định'!$F$8)*'DIA_Giả Định'!$F$9*'DIA_Giả Định'!$F$35*'DIA_Giả Định'!$F$5+('DIA_Giả Định'!$F$6*'DIA_Giả Định'!$F$8)*'DIA_Giả Định'!$F$10*'DIA_Giả Định'!$F$36)</f>
        <v>441329904</v>
      </c>
      <c r="D28" s="142" t="n">
        <f aca="false">(('DIA_Giả Định'!$G$6*'DIA_Giả Định'!$G$8)*'DIA_Giả Định'!$G$9*'DIA_Giả Định'!$G$35*'DIA_Giả Định'!$G$5+('DIA_Giả Định'!$G$6*'DIA_Giả Định'!$G$8)*'DIA_Giả Định'!$G$10*'DIA_Giả Định'!$G$36)</f>
        <v>847146690</v>
      </c>
      <c r="E28" s="140" t="n">
        <f aca="false">(('DIA_Giả Định'!$H$6*'DIA_Giả Định'!$H$8)*'DIA_Giả Định'!$H$9*'DIA_Giả Định'!$H$35*'DIA_Giả Định'!$H$5+('DIA_Giả Định'!$H$6*'DIA_Giả Định'!$H$8)*'DIA_Giả Định'!$H$10*'DIA_Giả Định'!$H$36)</f>
        <v>715680000</v>
      </c>
      <c r="F28" s="140" t="n">
        <f aca="false">(('DIA_Giả Định'!$I$6*'DIA_Giả Định'!$I$8)*'DIA_Giả Định'!$I$9*'DIA_Giả Định'!$I$35*'DIA_Giả Định'!$I$5+('DIA_Giả Định'!$I$6*'DIA_Giả Định'!$I$8)*'DIA_Giả Định'!$I$10*'DIA_Giả Định'!$I$36)</f>
        <v>1224161850</v>
      </c>
      <c r="G28" s="142" t="n">
        <f aca="false">(('DIA_Giả Định'!$J$6*'DIA_Giả Định'!$J$8)*'DIA_Giả Định'!$J$9*'DIA_Giả Định'!$J$35*'DIA_Giả Định'!$J$5+('DIA_Giả Định'!$J$6*'DIA_Giả Định'!$J$8)*'DIA_Giả Định'!$J$10*'DIA_Giả Định'!$J$36)</f>
        <v>2250333434.4624</v>
      </c>
      <c r="H28" s="140" t="n">
        <f aca="false">(('DIA_Giả Định'!$K$6*'DIA_Giả Định'!$K$8)*'DIA_Giả Định'!$K$9*'DIA_Giả Định'!$K$35*'DIA_Giả Định'!$K$5+('DIA_Giả Định'!$K$6*'DIA_Giả Định'!$K$8)*'DIA_Giả Định'!$K$10*'DIA_Giả Định'!$K$36)</f>
        <v>1392125000</v>
      </c>
      <c r="I28" s="140" t="n">
        <f aca="false">(('DIA_Giả Định'!$L$6*'DIA_Giả Định'!$L$8)*'DIA_Giả Định'!$L$9*'DIA_Giả Định'!$L$35*'DIA_Giả Định'!$L$5+('DIA_Giả Định'!$L$6*'DIA_Giả Định'!$L$8)*'DIA_Giả Định'!$L$10*'DIA_Giả Định'!$L$36)</f>
        <v>2559052272</v>
      </c>
      <c r="J28" s="142" t="n">
        <f aca="false">(('DIA_Giả Định'!$M$6*'DIA_Giả Định'!$M$8)*'DIA_Giả Định'!$M$9*'DIA_Giả Định'!$M$35*'DIA_Giả Định'!$M$5+('DIA_Giả Định'!$M$6*'DIA_Giả Định'!$M$8)*'DIA_Giả Định'!$M$10*'DIA_Giả Định'!$M$36)</f>
        <v>4664594199.342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7.25" hidden="false" customHeight="true" outlineLevel="0" collapsed="false">
      <c r="A29" s="139" t="s">
        <v>545</v>
      </c>
      <c r="B29" s="140" t="n">
        <f aca="false">(('DIA_Giả Định'!$E$25*'DIA_Giả Định'!$E$30)*'DIA_Giả Định'!$E$37*'DIA_Giả Định'!$E$5+('DIA_Giả Định'!$E$26*'DIA_Giả Định'!$E$30)*'DIA_Giả Định'!$E$37*'DIA_Giả Định'!$E$5)</f>
        <v>19176000</v>
      </c>
      <c r="C29" s="140" t="n">
        <f aca="false">(('DIA_Giả Định'!$F$25*'DIA_Giả Định'!$F$30)*'DIA_Giả Định'!$F$37*'DIA_Giả Định'!$F$5+('DIA_Giả Định'!$F$26*'DIA_Giả Định'!$F$30)*'DIA_Giả Định'!$F$37*'DIA_Giả Định'!$F$5)</f>
        <v>205860787.648304</v>
      </c>
      <c r="D29" s="140" t="n">
        <f aca="false">(('DIA_Giả Định'!$G$25*'DIA_Giả Định'!$G$30)*'DIA_Giả Định'!$G$37*'DIA_Giả Định'!$G$5+('DIA_Giả Định'!$G$26*'DIA_Giả Định'!$G$30)*'DIA_Giả Định'!$G$37*'DIA_Giả Định'!$G$5)</f>
        <v>1098453863.32865</v>
      </c>
      <c r="E29" s="140" t="n">
        <f aca="false">(('DIA_Giả Định'!$H$25*'DIA_Giả Định'!$H$30)*'DIA_Giả Định'!$H$37*'DIA_Giả Định'!$H$5+('DIA_Giả Định'!$H$26*'DIA_Giả Định'!$H$30)*'DIA_Giả Định'!$H$37*'DIA_Giả Định'!$H$5)</f>
        <v>37758000</v>
      </c>
      <c r="F29" s="140" t="n">
        <f aca="false">(('DIA_Giả Định'!$I$25*'DIA_Giả Định'!$I$30)*'DIA_Giả Định'!$I$37*'DIA_Giả Định'!$I$5+('DIA_Giả Định'!$I$26*'DIA_Giả Định'!$I$30)*'DIA_Giả Định'!$I$37*'DIA_Giả Định'!$I$5)</f>
        <v>119175036</v>
      </c>
      <c r="G29" s="140" t="n">
        <f aca="false">(('DIA_Giả Định'!$J$25*'DIA_Giả Định'!$J$30)*'DIA_Giả Định'!$J$37*'DIA_Giả Định'!$J$5+('DIA_Giả Định'!$J$26*'DIA_Giả Định'!$J$30)*'DIA_Giả Định'!$J$37*'DIA_Giả Định'!$J$5)</f>
        <v>263305324.5384</v>
      </c>
      <c r="H29" s="140" t="n">
        <f aca="false">(('DIA_Giả Định'!$K$25*'DIA_Giả Định'!$K$30)*'DIA_Giả Định'!$K$37*'DIA_Giả Định'!$K$5+('DIA_Giả Định'!$K$26*'DIA_Giả Định'!$K$30)*'DIA_Giả Định'!$K$37*'DIA_Giả Định'!$K$5)</f>
        <v>65934000</v>
      </c>
      <c r="I29" s="140" t="n">
        <f aca="false">(('DIA_Giả Định'!$L$25*'DIA_Giả Định'!$L$30)*'DIA_Giả Định'!$L$37*'DIA_Giả Định'!$L$5+('DIA_Giả Định'!$L$26*'DIA_Giả Định'!$L$30)*'DIA_Giả Định'!$L$37*'DIA_Giả Định'!$L$5)</f>
        <v>198647154</v>
      </c>
      <c r="J29" s="140" t="n">
        <f aca="false">(('DIA_Giả Định'!$M$25*'DIA_Giả Định'!$M$30)*'DIA_Giả Định'!$M$37*'DIA_Giả Định'!$M$5+('DIA_Giả Định'!$M$26*'DIA_Giả Định'!$M$30)*'DIA_Giả Định'!$M$37*'DIA_Giả Định'!$M$5)</f>
        <v>402316770.2103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7.25" hidden="false" customHeight="true" outlineLevel="0" collapsed="false">
      <c r="A30" s="139" t="s">
        <v>546</v>
      </c>
      <c r="B30" s="140" t="n">
        <f aca="false">'DIA_Giả Định'!$E$27*'DIA_Giả Định'!$E$39+'DIA_Giả Định'!$E$28*'DIA_Giả Định'!$E$40</f>
        <v>54000000</v>
      </c>
      <c r="C30" s="140" t="n">
        <f aca="false">('DIA_Giả Định'!$F$27*'DIA_Giả Định'!$F$39+'DIA_Giả Định'!$F$28*'DIA_Giả Định'!$F$40)</f>
        <v>117000000</v>
      </c>
      <c r="D30" s="140" t="n">
        <f aca="false">('DIA_Giả Định'!$G$27*'DIA_Giả Định'!$G$39+'DIA_Giả Định'!$G$28*'DIA_Giả Định'!$G$40)</f>
        <v>189000000</v>
      </c>
      <c r="E30" s="140" t="n">
        <f aca="false">'DIA_Giả Định'!$H$27*'DIA_Giả Định'!$H$39+'DIA_Giả Định'!$H$28*'DIA_Giả Định'!$H$40</f>
        <v>110000000</v>
      </c>
      <c r="F30" s="140" t="n">
        <f aca="false">('DIA_Giả Định'!$I$27*'DIA_Giả Định'!$I$39+'DIA_Giả Định'!$I$28*'DIA_Giả Định'!$I$40)</f>
        <v>190000000</v>
      </c>
      <c r="G30" s="140" t="n">
        <f aca="false">('DIA_Giả Định'!$J$27*'DIA_Giả Định'!$J$39+'DIA_Giả Định'!$J$28*'DIA_Giả Định'!$J$40)</f>
        <v>350000000</v>
      </c>
      <c r="H30" s="140" t="n">
        <f aca="false">'DIA_Giả Định'!$K$27*'DIA_Giả Định'!$K$39+'DIA_Giả Định'!$K$28*'DIA_Giả Định'!$K$40</f>
        <v>187000000</v>
      </c>
      <c r="I30" s="140" t="n">
        <f aca="false">('DIA_Giả Định'!$L$27*'DIA_Giả Định'!$L$39+'DIA_Giả Định'!$L$28*'DIA_Giả Định'!$L$40)</f>
        <v>319000000</v>
      </c>
      <c r="J30" s="140" t="n">
        <f aca="false">('DIA_Giả Định'!$M$27*'DIA_Giả Định'!$M$39+'DIA_Giả Định'!$M$28*'DIA_Giả Định'!$M$40)</f>
        <v>539000000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7.25" hidden="false" customHeight="true" outlineLevel="0" collapsed="false">
      <c r="A31" s="139" t="s">
        <v>547</v>
      </c>
      <c r="B31" s="140" t="n">
        <f aca="false">('DIA_Giả Định'!$E$29*'DIA_Giả Định'!$E$41+'DIA_Giả Định'!$E$29*'DIA_Giả Định'!$E$43*'DIA_Giả Định'!$E$42)</f>
        <v>15300000</v>
      </c>
      <c r="C31" s="140" t="n">
        <f aca="false">('DIA_Giả Định'!$F$29*'DIA_Giả Định'!$F$41+'DIA_Giả Định'!$F$29*'DIA_Giả Định'!$F$43*'DIA_Giả Định'!$F$42)</f>
        <v>40500000</v>
      </c>
      <c r="D31" s="140" t="n">
        <f aca="false">('DIA_Giả Định'!$G$29*'DIA_Giả Định'!$G$41+'DIA_Giả Định'!$G$29*'DIA_Giả Định'!$G$43*'DIA_Giả Định'!$G$42)</f>
        <v>77625000</v>
      </c>
      <c r="E31" s="140" t="n">
        <f aca="false">('DIA_Giả Định'!$H$29*'DIA_Giả Định'!$H$41+'DIA_Giả Định'!$H$29*'DIA_Giả Định'!$H$43*'DIA_Giả Định'!$H$42)</f>
        <v>35000000</v>
      </c>
      <c r="F31" s="140" t="n">
        <f aca="false">('DIA_Giả Định'!$I$29*'DIA_Giả Định'!$I$41+'DIA_Giả Định'!$I$29*'DIA_Giả Định'!$I$43*'DIA_Giả Định'!$I$42)</f>
        <v>74750000</v>
      </c>
      <c r="G31" s="140" t="n">
        <f aca="false">('DIA_Giả Định'!$J$29*'DIA_Giả Định'!$J$41+'DIA_Giả Định'!$J$29*'DIA_Giả Định'!$J$43*'DIA_Giả Định'!$J$42)</f>
        <v>162500000</v>
      </c>
      <c r="H31" s="140" t="n">
        <f aca="false">('DIA_Giả Định'!$K$29*'DIA_Giả Định'!$K$41+'DIA_Giả Định'!$K$29*'DIA_Giả Định'!$K$43*'DIA_Giả Định'!$K$42)</f>
        <v>73700000</v>
      </c>
      <c r="I31" s="140" t="n">
        <f aca="false">('DIA_Giả Định'!$L$29*'DIA_Giả Định'!$L$41+'DIA_Giả Định'!$L$29*'DIA_Giả Định'!$L$43*'DIA_Giả Định'!$L$42)</f>
        <v>161500000</v>
      </c>
      <c r="J31" s="140" t="n">
        <f aca="false">('DIA_Giả Định'!$M$29*'DIA_Giả Định'!$M$41+'DIA_Giả Định'!$M$29*'DIA_Giả Định'!$M$43*'DIA_Giả Định'!$M$42)</f>
        <v>360500000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32.25" hidden="false" customHeight="true" outlineLevel="0" collapsed="false">
      <c r="A32" s="139" t="s">
        <v>548</v>
      </c>
      <c r="B32" s="140" t="n">
        <f aca="false">SUM(B28:B31)</f>
        <v>289926000</v>
      </c>
      <c r="C32" s="140" t="n">
        <f aca="false">SUM(C28:C31)</f>
        <v>804690691.648304</v>
      </c>
      <c r="D32" s="140" t="n">
        <f aca="false">SUM(D28:D31)</f>
        <v>2212225553.32865</v>
      </c>
      <c r="E32" s="140" t="n">
        <f aca="false">SUM(E28:E31)</f>
        <v>898438000</v>
      </c>
      <c r="F32" s="140" t="n">
        <f aca="false">SUM(F28:F31)</f>
        <v>1608086886</v>
      </c>
      <c r="G32" s="140" t="n">
        <f aca="false">SUM(G28:G31)</f>
        <v>3026138759.0008</v>
      </c>
      <c r="H32" s="140" t="n">
        <f aca="false">SUM(H28:H31)</f>
        <v>1718759000</v>
      </c>
      <c r="I32" s="140" t="n">
        <f aca="false">SUM(I28:I31)</f>
        <v>3238199426</v>
      </c>
      <c r="J32" s="140" t="n">
        <f aca="false">SUM(J28:J31)</f>
        <v>5966410969.5523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32.25" hidden="false" customHeight="true" outlineLevel="0" collapsed="false">
      <c r="A33" s="139" t="s">
        <v>549</v>
      </c>
      <c r="B33" s="140" t="n">
        <f aca="false">'DIA_Giả Định'!$E$35*40%*'DIA_Giả Định'!$E$13</f>
        <v>69600000</v>
      </c>
      <c r="C33" s="140" t="n">
        <f aca="false">'DIA_Giả Định'!$F$35*40%*'DIA_Giả Định'!$F$13</f>
        <v>153774240</v>
      </c>
      <c r="D33" s="140" t="n">
        <f aca="false">'DIA_Giả Định'!$G$35*40%*'DIA_Giả Định'!$G$13</f>
        <v>288326700</v>
      </c>
      <c r="E33" s="140" t="n">
        <f aca="false">'DIA_Giả Định'!$H$35*40%*'DIA_Giả Định'!$H$13</f>
        <v>218400000</v>
      </c>
      <c r="F33" s="140" t="n">
        <f aca="false">'DIA_Giả Định'!$I$35*40%*'DIA_Giả Định'!$I$13</f>
        <v>387749700</v>
      </c>
      <c r="G33" s="140" t="n">
        <f aca="false">'DIA_Giả Định'!$J$35*40%*'DIA_Giả Định'!$J$13</f>
        <v>732949471.254</v>
      </c>
      <c r="H33" s="140" t="n">
        <f aca="false">'DIA_Giả Định'!$K$35*40%*'DIA_Giả Định'!$K$13</f>
        <v>392000000</v>
      </c>
      <c r="I33" s="140" t="n">
        <f aca="false">'DIA_Giả Định'!$L$35*40%*'DIA_Giả Định'!$L$13</f>
        <v>757824200</v>
      </c>
      <c r="J33" s="140" t="n">
        <f aca="false">'DIA_Giả Định'!$M$35*40%*'DIA_Giả Định'!$M$13</f>
        <v>1435145817.84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32.25" hidden="false" customHeight="true" outlineLevel="0" collapsed="false">
      <c r="A34" s="139" t="s">
        <v>550</v>
      </c>
      <c r="B34" s="140" t="n">
        <f aca="false">SUM('DIA_Giả Định'!E75:E88)*12</f>
        <v>1767750000</v>
      </c>
      <c r="C34" s="140" t="n">
        <f aca="false">SUM('DIA_Giả Định'!F75:F88)*12</f>
        <v>2403750000</v>
      </c>
      <c r="D34" s="140" t="n">
        <f aca="false">SUM('DIA_Giả Định'!G75:G88)*12</f>
        <v>3123750000</v>
      </c>
      <c r="E34" s="140" t="n">
        <f aca="false">SUM('DIA_Giả Định'!H75:H88)*12</f>
        <v>2241750000</v>
      </c>
      <c r="F34" s="140" t="n">
        <f aca="false">SUM('DIA_Giả Định'!I75:I88)*12</f>
        <v>2979750000</v>
      </c>
      <c r="G34" s="140" t="n">
        <f aca="false">SUM('DIA_Giả Định'!J75:J88)*12</f>
        <v>3609750000</v>
      </c>
      <c r="H34" s="140" t="n">
        <f aca="false">SUM('DIA_Giả Định'!K75:K88)*12</f>
        <v>3117750000</v>
      </c>
      <c r="I34" s="140" t="n">
        <f aca="false">SUM('DIA_Giả Định'!L75:L88)*12</f>
        <v>4251750000</v>
      </c>
      <c r="J34" s="140" t="n">
        <f aca="false">SUM('DIA_Giả Định'!M75:M88)*12</f>
        <v>5427750000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32.25" hidden="false" customHeight="true" outlineLevel="0" collapsed="false">
      <c r="A35" s="139" t="s">
        <v>551</v>
      </c>
      <c r="B35" s="140" t="n">
        <f aca="false">B32-B33-B34</f>
        <v>-1547424000</v>
      </c>
      <c r="C35" s="140" t="n">
        <f aca="false">C32-C33-C34</f>
        <v>-1752833548.3517</v>
      </c>
      <c r="D35" s="140" t="n">
        <f aca="false">D32-D33-D34</f>
        <v>-1199851146.67135</v>
      </c>
      <c r="E35" s="140" t="n">
        <f aca="false">E32-E33-E34</f>
        <v>-1561712000</v>
      </c>
      <c r="F35" s="140" t="n">
        <f aca="false">F32-F33-F34</f>
        <v>-1759412814</v>
      </c>
      <c r="G35" s="140" t="n">
        <f aca="false">G32-G33-G34</f>
        <v>-1316560712.2532</v>
      </c>
      <c r="H35" s="140" t="n">
        <f aca="false">H32-H33-H34</f>
        <v>-1790991000</v>
      </c>
      <c r="I35" s="140" t="n">
        <f aca="false">I32-I33-I34</f>
        <v>-1771374774</v>
      </c>
      <c r="J35" s="140" t="n">
        <f aca="false">J32-J33-J34</f>
        <v>-896484848.287698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7.25" hidden="false" customHeight="true" outlineLevel="0" collapsed="false">
      <c r="A36" s="139" t="s">
        <v>552</v>
      </c>
      <c r="B36" s="140" t="n">
        <f aca="false">((('DIA_Giả Định'!$E$92*'DIA_Giả Định'!$E$93)+('DIA_Giả Định'!$E$94*'DIA_Giả Định'!$E$95)+('DIA_Giả Định'!$E$104*'DIA_Giả Định'!$E$105)+('DIA_Giả Định'!$E$96*'DIA_Giả Định'!$E$97)+('DIA_Giả Định'!$E$98*'DIA_Giả Định'!$E$99)+('DIA_Giả Định'!$E$100*'DIA_Giả Định'!$E$101))/'DIA_Giả Định'!$E$64+(('DIA_Giả Định'!$E$114*'DIA_Giả Định'!$E$115)+('DIA_Giả Định'!$E$116*'DIA_Giả Định'!$E$117))/'DIA_Giả Định'!$E$65)</f>
        <v>366266666.666667</v>
      </c>
      <c r="C36" s="140" t="n">
        <f aca="false">((('DIA_Giả Định'!$E$92*'DIA_Giả Định'!$E$93)+('DIA_Giả Định'!$E$94*'DIA_Giả Định'!$E$95)+('DIA_Giả Định'!$E$104*'DIA_Giả Định'!$E$105)+('DIA_Giả Định'!$E$96*'DIA_Giả Định'!$E$97)+('DIA_Giả Định'!$E$98*'DIA_Giả Định'!$E$99)+('DIA_Giả Định'!$E$100*'DIA_Giả Định'!$E$101))/'DIA_Giả Định'!$E$64+(('DIA_Giả Định'!$E$114*'DIA_Giả Định'!$E$115)+('DIA_Giả Định'!$E$116*'DIA_Giả Định'!$E$117))/'DIA_Giả Định'!$E$65)</f>
        <v>366266666.666667</v>
      </c>
      <c r="D36" s="140" t="n">
        <f aca="false">((('DIA_Giả Định'!$E$92*'DIA_Giả Định'!$E$93)+('DIA_Giả Định'!$E$94*'DIA_Giả Định'!$E$95)+('DIA_Giả Định'!$E$104*'DIA_Giả Định'!$E$105)+('DIA_Giả Định'!$E$96*'DIA_Giả Định'!$E$97)+('DIA_Giả Định'!$E$98*'DIA_Giả Định'!$E$99)+('DIA_Giả Định'!$E$100*'DIA_Giả Định'!$E$101))/'DIA_Giả Định'!$E$64+(('DIA_Giả Định'!$E$114*'DIA_Giả Định'!$E$115)+('DIA_Giả Định'!$E$116*'DIA_Giả Định'!$E$117))/'DIA_Giả Định'!$E$65)</f>
        <v>366266666.666667</v>
      </c>
      <c r="E36" s="140" t="n">
        <f aca="false">((('DIA_Giả Định'!$H$92*'DIA_Giả Định'!$H$93)+('DIA_Giả Định'!$H$94*'DIA_Giả Định'!$H$95)+('DIA_Giả Định'!$H$104*'DIA_Giả Định'!$H$105)+('DIA_Giả Định'!$H$96*'DIA_Giả Định'!$H$97)+('DIA_Giả Định'!$H$98*'DIA_Giả Định'!$H$99)+('DIA_Giả Định'!$H$100*'DIA_Giả Định'!$H$101))/'DIA_Giả Định'!$H$64+(('DIA_Giả Định'!$H$114*'DIA_Giả Định'!$H$115)+('DIA_Giả Định'!$H$116*'DIA_Giả Định'!$H$117))/'DIA_Giả Định'!$H$65)</f>
        <v>389550000</v>
      </c>
      <c r="F36" s="140" t="n">
        <f aca="false">((('DIA_Giả Định'!$H$92*'DIA_Giả Định'!$H$93)+('DIA_Giả Định'!$H$94*'DIA_Giả Định'!$H$95)+('DIA_Giả Định'!$H$104*'DIA_Giả Định'!$H$105)+('DIA_Giả Định'!$H$96*'DIA_Giả Định'!$H$97)+('DIA_Giả Định'!$H$98*'DIA_Giả Định'!$H$99)+('DIA_Giả Định'!$H$100*'DIA_Giả Định'!$H$101))/'DIA_Giả Định'!$H$64+(('DIA_Giả Định'!$H$114*'DIA_Giả Định'!$H$115)+('DIA_Giả Định'!$H$116*'DIA_Giả Định'!$H$117))/'DIA_Giả Định'!$H$65)</f>
        <v>389550000</v>
      </c>
      <c r="G36" s="140" t="n">
        <f aca="false">((('DIA_Giả Định'!$H$92*'DIA_Giả Định'!$H$93)+('DIA_Giả Định'!$H$94*'DIA_Giả Định'!$H$95)+('DIA_Giả Định'!$H$104*'DIA_Giả Định'!$H$105)+('DIA_Giả Định'!$H$96*'DIA_Giả Định'!$H$97)+('DIA_Giả Định'!$H$98*'DIA_Giả Định'!$H$99)+('DIA_Giả Định'!$H$100*'DIA_Giả Định'!$H$101))/'DIA_Giả Định'!$H$64+(('DIA_Giả Định'!$H$114*'DIA_Giả Định'!$H$115)+('DIA_Giả Định'!$H$116*'DIA_Giả Định'!$H$117))/'DIA_Giả Định'!$H$65)</f>
        <v>389550000</v>
      </c>
      <c r="H36" s="140" t="n">
        <f aca="false">((('DIA_Giả Định'!$K$92*'DIA_Giả Định'!$K$93)+('DIA_Giả Định'!$K$94*'DIA_Giả Định'!$K$95)+('DIA_Giả Định'!$K$104*'DIA_Giả Định'!$K$105)+('DIA_Giả Định'!$K$96*'DIA_Giả Định'!$K$97)+('DIA_Giả Định'!$K$98*'DIA_Giả Định'!$K$99)+('DIA_Giả Định'!$K$100*'DIA_Giả Định'!$K$101))/'DIA_Giả Định'!$K$64+(('DIA_Giả Định'!$K$114*'DIA_Giả Định'!$K$115)+('DIA_Giả Định'!$K$116*'DIA_Giả Định'!$K$117))/'DIA_Giả Định'!$K$65)</f>
        <v>422650000</v>
      </c>
      <c r="I36" s="140" t="n">
        <f aca="false">((('DIA_Giả Định'!$K$92*'DIA_Giả Định'!$K$93)+('DIA_Giả Định'!$K$94*'DIA_Giả Định'!$K$95)+('DIA_Giả Định'!$K$104*'DIA_Giả Định'!$K$105)+('DIA_Giả Định'!$K$96*'DIA_Giả Định'!$K$97)+('DIA_Giả Định'!$K$98*'DIA_Giả Định'!$K$99)+('DIA_Giả Định'!$K$100*'DIA_Giả Định'!$K$101))/'DIA_Giả Định'!$K$64+(('DIA_Giả Định'!$K$114*'DIA_Giả Định'!$K$115)+('DIA_Giả Định'!$K$116*'DIA_Giả Định'!$K$117))/'DIA_Giả Định'!$K$65)</f>
        <v>422650000</v>
      </c>
      <c r="J36" s="140" t="n">
        <f aca="false">((('DIA_Giả Định'!$K$92*'DIA_Giả Định'!$K$93)+('DIA_Giả Định'!$K$94*'DIA_Giả Định'!$K$95)+('DIA_Giả Định'!$K$104*'DIA_Giả Định'!$K$105)+('DIA_Giả Định'!$K$96*'DIA_Giả Định'!$K$97)+('DIA_Giả Định'!$K$98*'DIA_Giả Định'!$K$99)+('DIA_Giả Định'!$K$100*'DIA_Giả Định'!$K$101))/'DIA_Giả Định'!$K$64+(('DIA_Giả Định'!$K$114*'DIA_Giả Định'!$K$115)+('DIA_Giả Định'!$K$116*'DIA_Giả Định'!$K$117))/'DIA_Giả Định'!$K$65)</f>
        <v>422650000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32.25" hidden="false" customHeight="true" outlineLevel="0" collapsed="false">
      <c r="A37" s="139" t="s">
        <v>553</v>
      </c>
      <c r="B37" s="140" t="n">
        <f aca="false">B35-B36</f>
        <v>-1913690666.66667</v>
      </c>
      <c r="C37" s="140" t="n">
        <f aca="false">C35-C36</f>
        <v>-2119100215.01836</v>
      </c>
      <c r="D37" s="140" t="n">
        <f aca="false">D35-D36</f>
        <v>-1566117813.33802</v>
      </c>
      <c r="E37" s="140" t="n">
        <f aca="false">E35-E36</f>
        <v>-1951262000</v>
      </c>
      <c r="F37" s="140" t="n">
        <f aca="false">F35-F36</f>
        <v>-2148962814</v>
      </c>
      <c r="G37" s="140" t="n">
        <f aca="false">G35-G36</f>
        <v>-1706110712.2532</v>
      </c>
      <c r="H37" s="140" t="n">
        <f aca="false">H35-H36</f>
        <v>-2213641000</v>
      </c>
      <c r="I37" s="140" t="n">
        <f aca="false">I35-I36</f>
        <v>-2194024774</v>
      </c>
      <c r="J37" s="140" t="n">
        <f aca="false">J35-J36</f>
        <v>-1319134848.2877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7.25" hidden="false" customHeight="true" outlineLevel="0" collapsed="false">
      <c r="A38" s="139" t="s">
        <v>554</v>
      </c>
      <c r="B38" s="140" t="n">
        <f aca="false">MAX(0,B37*'DIA_Giả Định'!$E$59)</f>
        <v>0</v>
      </c>
      <c r="C38" s="140" t="n">
        <f aca="false">MAX(0,C37*'DIA_Giả Định'!$F$59)</f>
        <v>0</v>
      </c>
      <c r="D38" s="140" t="n">
        <f aca="false">MAX(0,D37*'DIA_Giả Định'!$G$59)</f>
        <v>0</v>
      </c>
      <c r="E38" s="140" t="n">
        <f aca="false">MAX(0,E37*'DIA_Giả Định'!$H$59)</f>
        <v>0</v>
      </c>
      <c r="F38" s="140" t="n">
        <f aca="false">MAX(0,F37*'DIA_Giả Định'!$I$59)</f>
        <v>0</v>
      </c>
      <c r="G38" s="140" t="n">
        <f aca="false">MAX(0,G37*'DIA_Giả Định'!$J$59)</f>
        <v>0</v>
      </c>
      <c r="H38" s="140" t="n">
        <f aca="false">MAX(0,H37*'DIA_Giả Định'!$K$59)</f>
        <v>0</v>
      </c>
      <c r="I38" s="140" t="n">
        <f aca="false">MAX(0,I37*'DIA_Giả Định'!$L$59)</f>
        <v>0</v>
      </c>
      <c r="J38" s="140" t="n">
        <f aca="false">MAX(0,J37*'DIA_Giả Định'!$M$59)</f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32.25" hidden="false" customHeight="true" outlineLevel="0" collapsed="false">
      <c r="A39" s="139" t="s">
        <v>555</v>
      </c>
      <c r="B39" s="140" t="n">
        <f aca="false">B37-B38</f>
        <v>-1913690666.66667</v>
      </c>
      <c r="C39" s="140" t="n">
        <f aca="false">C37-C38</f>
        <v>-2119100215.01836</v>
      </c>
      <c r="D39" s="140" t="n">
        <f aca="false">D37-D38</f>
        <v>-1566117813.33802</v>
      </c>
      <c r="E39" s="140" t="n">
        <f aca="false">E37-E38</f>
        <v>-1951262000</v>
      </c>
      <c r="F39" s="140" t="n">
        <f aca="false">F37-F38</f>
        <v>-2148962814</v>
      </c>
      <c r="G39" s="140" t="n">
        <f aca="false">G37-G38</f>
        <v>-1706110712.2532</v>
      </c>
      <c r="H39" s="140" t="n">
        <f aca="false">H37-H38</f>
        <v>-2213641000</v>
      </c>
      <c r="I39" s="140" t="n">
        <f aca="false">I37-I38</f>
        <v>-2194024774</v>
      </c>
      <c r="J39" s="140" t="n">
        <f aca="false">J37-J38</f>
        <v>-1319134848.2877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7.25" hidden="false" customHeight="true" outlineLevel="0" collapsed="false">
      <c r="A40" s="139" t="s">
        <v>279</v>
      </c>
      <c r="B40" s="140" t="n">
        <f aca="false">-'DIA_Giả Định'!$E$73</f>
        <v>-0</v>
      </c>
      <c r="C40" s="140" t="n">
        <f aca="false">-'DIA_Giả Định'!$F$73</f>
        <v>-50000000</v>
      </c>
      <c r="D40" s="140" t="n">
        <f aca="false">-'DIA_Giả Định'!$G$73</f>
        <v>-80000000</v>
      </c>
      <c r="E40" s="140" t="n">
        <f aca="false">-'DIA_Giả Định'!$H$73</f>
        <v>-0</v>
      </c>
      <c r="F40" s="140" t="n">
        <f aca="false">-'DIA_Giả Định'!$I$73</f>
        <v>-100000000</v>
      </c>
      <c r="G40" s="140" t="n">
        <f aca="false">-'DIA_Giả Định'!$J$73</f>
        <v>-150000000</v>
      </c>
      <c r="H40" s="140" t="n">
        <f aca="false">-'DIA_Giả Định'!$K$73</f>
        <v>-0</v>
      </c>
      <c r="I40" s="140" t="n">
        <f aca="false">-'DIA_Giả Định'!$L$73</f>
        <v>-200000000</v>
      </c>
      <c r="J40" s="140" t="n">
        <f aca="false">-'DIA_Giả Định'!$M$73</f>
        <v>-300000000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32.25" hidden="false" customHeight="true" outlineLevel="0" collapsed="false">
      <c r="A41" s="139" t="s">
        <v>556</v>
      </c>
      <c r="B41" s="140" t="n">
        <f aca="false">-MAX(0,(B34/'DIA_Giả Định'!$E$5*'DIA_Giả Định'!$E$67)-('DIA_Giả Định'!$E$124*'DIA_Giả Định'!$E$125))</f>
        <v>-39625000</v>
      </c>
      <c r="C41" s="140" t="n">
        <f aca="false">-MAX(0,(C34/'DIA_Giả Định'!$F$5*'DIA_Giả Định'!$F$67)-(B34/'DIA_Giả Định'!$E$5*'DIA_Giả Định'!$E$67))</f>
        <v>-106000000</v>
      </c>
      <c r="D41" s="140" t="n">
        <f aca="false">-MAX(0,(D34/'DIA_Giả Định'!$G$5*'DIA_Giả Định'!$G$67)-(C34/'DIA_Giả Định'!$F$5*'DIA_Giả Định'!$F$67))</f>
        <v>-120000000</v>
      </c>
      <c r="E41" s="140" t="n">
        <f aca="false">-MAX(0,(E34/'DIA_Giả Định'!$H$5*'DIA_Giả Định'!$H$67)-('DIA_Giả Định'!$H$124*'DIA_Giả Định'!$H$125))</f>
        <v>-73625000</v>
      </c>
      <c r="F41" s="140" t="n">
        <f aca="false">-MAX(0,(F34/'DIA_Giả Định'!$I$5*'DIA_Giả Định'!$I$67)-(E34/'DIA_Giả Định'!$H$5*'DIA_Giả Định'!$H$67))</f>
        <v>-123000000</v>
      </c>
      <c r="G41" s="140" t="n">
        <f aca="false">-MAX(0,(G34/'DIA_Giả Định'!$J$5*'DIA_Giả Định'!$J$67)-(F34/'DIA_Giả Định'!$I$5*'DIA_Giả Định'!$I$67))</f>
        <v>-105000000</v>
      </c>
      <c r="H41" s="140" t="n">
        <f aca="false">-MAX(0,(H34/'DIA_Giả Định'!$K$5*'DIA_Giả Định'!$K$67)-('DIA_Giả Định'!$K$124*'DIA_Giả Định'!$K$125))</f>
        <v>-159625000</v>
      </c>
      <c r="I41" s="140" t="n">
        <f aca="false">-MAX(0,(I34/'DIA_Giả Định'!$L$5*'DIA_Giả Định'!$L$67)-(H34/'DIA_Giả Định'!$K$5*'DIA_Giả Định'!$K$67))</f>
        <v>-189000000</v>
      </c>
      <c r="J41" s="140" t="n">
        <f aca="false">-MAX(0,(J34/'DIA_Giả Định'!$M$5*'DIA_Giả Định'!$M$67)-(I34/'DIA_Giả Định'!$L$5*'DIA_Giả Định'!$L$67))</f>
        <v>-196000000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32.25" hidden="false" customHeight="true" outlineLevel="0" collapsed="false">
      <c r="A42" s="139" t="s">
        <v>557</v>
      </c>
      <c r="B42" s="140" t="n">
        <f aca="false">B37*(1-'DIA_Giả Định'!$E$59)+B36+B40+B41</f>
        <v>-1204310866.66667</v>
      </c>
      <c r="C42" s="140" t="n">
        <f aca="false">C37*(1-'DIA_Giả Định'!$F$59)+C36+C40+C41</f>
        <v>-1485013505.34802</v>
      </c>
      <c r="D42" s="140" t="n">
        <f aca="false">D37*(1-'DIA_Giả Định'!$G$59)+D36+D40+D41</f>
        <v>-1086627584.00375</v>
      </c>
      <c r="E42" s="140" t="n">
        <f aca="false">E37*(1-'DIA_Giả Định'!$H$59)+E36+E40+E41</f>
        <v>-1245084600</v>
      </c>
      <c r="F42" s="140" t="n">
        <f aca="false">F37*(1-'DIA_Giả Định'!$I$59)+F36+F40+F41</f>
        <v>-1552620251.2</v>
      </c>
      <c r="G42" s="140" t="n">
        <f aca="false">G37*(1-'DIA_Giả Định'!$J$59)+G36+G40+G41</f>
        <v>-1230338569.80256</v>
      </c>
      <c r="H42" s="140" t="n">
        <f aca="false">H37*(1-'DIA_Giả Định'!$K$59)+H36+H40+H41</f>
        <v>-1507887800</v>
      </c>
      <c r="I42" s="140" t="n">
        <f aca="false">I37*(1-'DIA_Giả Định'!$L$59)+I36+I40+I41</f>
        <v>-1721569819.2</v>
      </c>
      <c r="J42" s="140" t="n">
        <f aca="false">J37*(1-'DIA_Giả Định'!$M$59)+J36+J40+J41</f>
        <v>-1128657878.63016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32.25" hidden="false" customHeight="true" outlineLevel="0" collapsed="false">
      <c r="A43" s="139" t="s">
        <v>558</v>
      </c>
      <c r="B43" s="140" t="n">
        <f aca="false">B42/POWER(1+'DIA_Giả Định'!$E$60,1)</f>
        <v>-1003592388.88889</v>
      </c>
      <c r="C43" s="140" t="n">
        <f aca="false">C42/POWER(1+'DIA_Giả Định'!$E$60,2)</f>
        <v>-1031259378.71391</v>
      </c>
      <c r="D43" s="140" t="n">
        <f aca="false">D42/POWER(1+'DIA_Giả Định'!$E$60,3)</f>
        <v>-628835407.409576</v>
      </c>
      <c r="E43" s="140" t="n">
        <f aca="false">E42/POWER(1+'DIA_Giả Định'!$H$60,1)</f>
        <v>-1055156440.67797</v>
      </c>
      <c r="F43" s="140" t="n">
        <f aca="false">F42/POWER(1+'DIA_Giả Định'!$H$60,2)</f>
        <v>-1115067689.74433</v>
      </c>
      <c r="G43" s="140" t="n">
        <f aca="false">G42/POWER(1+'DIA_Giả Định'!$H$60,3)</f>
        <v>-748822037.429922</v>
      </c>
      <c r="H43" s="140" t="n">
        <f aca="false">H42/POWER(1+'DIA_Giả Định'!$K$60,1)</f>
        <v>-1311206782.6087</v>
      </c>
      <c r="I43" s="140" t="n">
        <f aca="false">I42/POWER(1+'DIA_Giả Định'!$K$60,2)</f>
        <v>-1301754116.59735</v>
      </c>
      <c r="J43" s="140" t="n">
        <f aca="false">J42/POWER(1+'DIA_Giả Định'!$K$60,3)</f>
        <v>-742110876.061582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32.25" hidden="false" customHeight="true" outlineLevel="0" collapsed="false">
      <c r="A44" s="139" t="s">
        <v>559</v>
      </c>
      <c r="B44" s="140" t="n">
        <f aca="false">-B22+B42</f>
        <v>-1888910866.66667</v>
      </c>
      <c r="C44" s="140" t="n">
        <f aca="false">B44+C42</f>
        <v>-3373924372.01469</v>
      </c>
      <c r="D44" s="140" t="n">
        <f aca="false">C44+D42</f>
        <v>-4460551956.01844</v>
      </c>
      <c r="E44" s="140" t="n">
        <f aca="false">-E22+E42</f>
        <v>-2125484600</v>
      </c>
      <c r="F44" s="140" t="n">
        <f aca="false">E44+F42</f>
        <v>-3678104851.2</v>
      </c>
      <c r="G44" s="140" t="n">
        <f aca="false">F44+G42</f>
        <v>-4908443421.00256</v>
      </c>
      <c r="H44" s="140" t="n">
        <f aca="false">-H22+H42</f>
        <v>-2593937800</v>
      </c>
      <c r="I44" s="140" t="n">
        <f aca="false">H44+I42</f>
        <v>-4315507619.2</v>
      </c>
      <c r="J44" s="140" t="n">
        <f aca="false">I44+J42</f>
        <v>-5444165497.83016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32.25" hidden="false" customHeight="true" outlineLevel="0" collapsed="false">
      <c r="A45" s="139" t="s">
        <v>560</v>
      </c>
      <c r="B45" s="140" t="n">
        <f aca="false">-B22+B43</f>
        <v>-1688192388.88889</v>
      </c>
      <c r="C45" s="140" t="n">
        <f aca="false">B45+C43</f>
        <v>-2719451767.60279</v>
      </c>
      <c r="D45" s="140" t="n">
        <f aca="false">C45+D43</f>
        <v>-3348287175.01237</v>
      </c>
      <c r="E45" s="140" t="n">
        <f aca="false">-E22+E43</f>
        <v>-1935556440.67797</v>
      </c>
      <c r="F45" s="140" t="n">
        <f aca="false">E45+F43</f>
        <v>-3050624130.42229</v>
      </c>
      <c r="G45" s="140" t="n">
        <f aca="false">F45+G43</f>
        <v>-3799446167.85222</v>
      </c>
      <c r="H45" s="140" t="n">
        <f aca="false">-H22+H43</f>
        <v>-2397256782.6087</v>
      </c>
      <c r="I45" s="140" t="n">
        <f aca="false">H45+I43</f>
        <v>-3699010899.20605</v>
      </c>
      <c r="J45" s="140" t="n">
        <f aca="false">I45+J43</f>
        <v>-4441121775.26763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32.25" hidden="false" customHeight="true" outlineLevel="0" collapsed="false">
      <c r="A46" s="139" t="s">
        <v>531</v>
      </c>
      <c r="B46" s="140" t="n">
        <f aca="false">SUM(B43:D43)-B22</f>
        <v>-3348287175.01237</v>
      </c>
      <c r="C46" s="140"/>
      <c r="D46" s="140"/>
      <c r="E46" s="140" t="n">
        <f aca="false">SUM(E43:G43)-E22</f>
        <v>-3799446167.85222</v>
      </c>
      <c r="F46" s="140"/>
      <c r="G46" s="140"/>
      <c r="H46" s="140" t="n">
        <f aca="false">SUM(H43:J43)-H22</f>
        <v>-4441121775.26763</v>
      </c>
      <c r="I46" s="140"/>
      <c r="J46" s="140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7.25" hidden="false" customHeight="true" outlineLevel="0" collapsed="false">
      <c r="A47" s="139" t="s">
        <v>532</v>
      </c>
      <c r="B47" s="143" t="n">
        <f aca="false">IF(D44&lt;0,0,IFERROR(IRR(A51:D51),0))</f>
        <v>0</v>
      </c>
      <c r="C47" s="139"/>
      <c r="D47" s="139"/>
      <c r="E47" s="143" t="n">
        <f aca="false">IF(G44&lt;0,0,IFERROR(IRR(L51:O51),0))</f>
        <v>0</v>
      </c>
      <c r="F47" s="139"/>
      <c r="G47" s="139"/>
      <c r="H47" s="143" t="n">
        <f aca="false">IF(J44&lt;0,0,IFERROR(IRR(Q51:T51),0))</f>
        <v>0</v>
      </c>
      <c r="I47" s="139"/>
      <c r="J47" s="139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7.25" hidden="false" customHeight="true" outlineLevel="0" collapsed="false">
      <c r="A48" s="139" t="s">
        <v>533</v>
      </c>
      <c r="B48" s="139" t="str">
        <f aca="false">IF(D44&lt;0,"&gt;3 năm",IF(B44&gt;=0,IFERROR(B22/B42,0),IF(C44&gt;=0,1+IFERROR(ABS(B44)/C42,0),2+IFERROR(ABS(C44)/D42,0))))</f>
        <v>&gt;3 năm</v>
      </c>
      <c r="C48" s="139"/>
      <c r="D48" s="139"/>
      <c r="E48" s="139" t="str">
        <f aca="false">IF(G44&lt;0,"&gt;3 năm",IF(E44&gt;=0,IFERROR(E22/E42,0),IF(F44&gt;=0,1+IFERROR(ABS(E44)/F42,0),2+IFERROR(ABS(F44)/G42,0))))</f>
        <v>&gt;3 năm</v>
      </c>
      <c r="F48" s="139"/>
      <c r="G48" s="139"/>
      <c r="H48" s="139" t="str">
        <f aca="false">IF(J44&lt;0,"&gt;3 năm",IF(H44&gt;=0,IFERROR(H22/H42,0),IF(I44&gt;=0,1+IFERROR(ABS(H44)/I42,0),2+IFERROR(ABS(I44)/J42,0))))</f>
        <v>&gt;3 năm</v>
      </c>
      <c r="I48" s="139"/>
      <c r="J48" s="139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7.25" hidden="false" customHeight="true" outlineLevel="0" collapsed="false">
      <c r="A49" s="139" t="s">
        <v>534</v>
      </c>
      <c r="B49" s="140" t="n">
        <f aca="false">MAX(0,-MIN(-B22,B44:D44))</f>
        <v>4460551956.01844</v>
      </c>
      <c r="C49" s="140"/>
      <c r="D49" s="140"/>
      <c r="E49" s="140" t="n">
        <f aca="false">MAX(0,-MIN(-E22,E44:G44))</f>
        <v>4908443421.00256</v>
      </c>
      <c r="F49" s="140"/>
      <c r="G49" s="140"/>
      <c r="H49" s="140" t="n">
        <f aca="false">MAX(0,-MIN(-H22,H44:J44))</f>
        <v>5444165497.83016</v>
      </c>
      <c r="I49" s="140"/>
      <c r="J49" s="140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3.5" hidden="false" customHeight="true" outlineLevel="0" collapsed="false">
      <c r="A50" s="2"/>
      <c r="B50" s="2"/>
      <c r="C50" s="2"/>
      <c r="D50" s="2"/>
      <c r="E50" s="2"/>
      <c r="F50" s="2"/>
      <c r="H50" s="2"/>
      <c r="I50" s="2"/>
      <c r="J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.5" hidden="false" customHeight="true" outlineLevel="0" collapsed="false">
      <c r="A51" s="144" t="n">
        <f aca="false">-B22</f>
        <v>-684600000</v>
      </c>
      <c r="B51" s="144" t="n">
        <f aca="false">B42</f>
        <v>-1204310866.66667</v>
      </c>
      <c r="C51" s="144" t="n">
        <f aca="false">C42</f>
        <v>-1485013505.34802</v>
      </c>
      <c r="D51" s="144" t="n">
        <f aca="false">D42</f>
        <v>-1086627584.00375</v>
      </c>
      <c r="E51" s="144" t="n">
        <f aca="false">E42</f>
        <v>-1245084600</v>
      </c>
      <c r="F51" s="144" t="n">
        <f aca="false">F42</f>
        <v>-1552620251.2</v>
      </c>
      <c r="G51" s="144" t="n">
        <f aca="false">G42</f>
        <v>-1230338569.80256</v>
      </c>
      <c r="H51" s="144" t="n">
        <f aca="false">H42</f>
        <v>-1507887800</v>
      </c>
      <c r="I51" s="144" t="n">
        <f aca="false">I42</f>
        <v>-1721569819.2</v>
      </c>
      <c r="J51" s="144" t="n">
        <f aca="false">J42</f>
        <v>-1128657878.63016</v>
      </c>
      <c r="L51" s="0" t="n">
        <f aca="false">-E22</f>
        <v>-880400000</v>
      </c>
      <c r="M51" s="145" t="n">
        <f aca="false">E42</f>
        <v>-1245084600</v>
      </c>
      <c r="N51" s="145" t="n">
        <f aca="false">F42</f>
        <v>-1552620251.2</v>
      </c>
      <c r="O51" s="145" t="n">
        <f aca="false">G42</f>
        <v>-1230338569.80256</v>
      </c>
      <c r="P51" s="2"/>
      <c r="Q51" s="2" t="n">
        <f aca="false">-H22</f>
        <v>-1086050000</v>
      </c>
      <c r="R51" s="145" t="n">
        <f aca="false">H42</f>
        <v>-1507887800</v>
      </c>
      <c r="S51" s="145" t="n">
        <f aca="false">I42</f>
        <v>-1721569819.2</v>
      </c>
      <c r="T51" s="145" t="n">
        <f aca="false">J42</f>
        <v>-1128657878.63016</v>
      </c>
      <c r="U51" s="2"/>
      <c r="V51" s="2"/>
      <c r="W51" s="2"/>
      <c r="X51" s="2"/>
    </row>
    <row r="52" customFormat="false" ht="13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3.5" hidden="false" customHeight="true" outlineLevel="0" collapsed="false">
      <c r="A53" s="2"/>
      <c r="B53" s="2"/>
      <c r="C53" s="2"/>
      <c r="D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3.5" hidden="false" customHeight="true" outlineLevel="0" collapsed="false">
      <c r="A54" s="2"/>
      <c r="B54" s="2"/>
      <c r="C54" s="2"/>
      <c r="D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3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7.25" hidden="false" customHeight="true" outlineLevel="0" collapsed="false">
      <c r="A57" s="137" t="s">
        <v>561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7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7.25" hidden="false" customHeight="true" outlineLevel="0" collapsed="false">
      <c r="A59" s="137" t="s">
        <v>562</v>
      </c>
      <c r="B59" s="137"/>
      <c r="C59" s="137"/>
      <c r="D59" s="137"/>
      <c r="E59" s="137"/>
      <c r="F59" s="2"/>
      <c r="G59" s="137" t="s">
        <v>563</v>
      </c>
      <c r="H59" s="137"/>
      <c r="I59" s="137"/>
      <c r="J59" s="137"/>
      <c r="K59" s="13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48" hidden="false" customHeight="true" outlineLevel="0" collapsed="false">
      <c r="A60" s="146" t="s">
        <v>564</v>
      </c>
      <c r="B60" s="147" t="n">
        <f aca="false">'DIA_Giả Định'!$J$35*'DIA_Giả Định'!$N$145</f>
        <v>42834.709359</v>
      </c>
      <c r="C60" s="147" t="n">
        <f aca="false">'DIA_Giả Định'!$J$35*'DIA_Giả Định'!$N$146</f>
        <v>47594.12151</v>
      </c>
      <c r="D60" s="147" t="n">
        <f aca="false">'DIA_Giả Định'!$J$35*'DIA_Giả Định'!$N$147</f>
        <v>52353.533661</v>
      </c>
      <c r="E60" s="147" t="n">
        <f aca="false">'DIA_Giả Định'!$J$35*'DIA_Giả Định'!$N$148</f>
        <v>57112.945812</v>
      </c>
      <c r="F60" s="2"/>
      <c r="G60" s="146" t="s">
        <v>565</v>
      </c>
      <c r="H60" s="148" t="n">
        <f aca="false">('DIA_Giả Định'!$J$25+'DIA_Giả Định'!$J$26)*'DIA_Giả Định'!$N$145</f>
        <v>36</v>
      </c>
      <c r="I60" s="148" t="n">
        <f aca="false">('DIA_Giả Định'!$J$25+'DIA_Giả Định'!$J$26)*'DIA_Giả Định'!$N$146</f>
        <v>40</v>
      </c>
      <c r="J60" s="148" t="n">
        <f aca="false">('DIA_Giả Định'!$J$25+'DIA_Giả Định'!$J$26)*'DIA_Giả Định'!$N$147</f>
        <v>44</v>
      </c>
      <c r="K60" s="148" t="n">
        <f aca="false">('DIA_Giả Định'!$J$25+'DIA_Giả Định'!$J$26)*'DIA_Giả Định'!$N$148</f>
        <v>48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32.25" hidden="false" customHeight="true" outlineLevel="0" collapsed="false">
      <c r="A61" s="149" t="n">
        <f aca="false">'DIA_Giả Định'!$J$35*'DIA_Giả Định'!$N$144</f>
        <v>38075.297208</v>
      </c>
      <c r="B61" s="140" t="n">
        <f aca="false">'DIA_Giả Định'!$J$6*B$60*('DIA_Giả Định'!$J$9*$A$61*'DIA_Giả Định'!$J$5+'DIA_Giả Định'!$J$10*$A$61*'DIA_Giả Định'!$J$5*(1-(1-'DIA_Giả Định'!$J$36/('DIA_Giả Định'!$J$35*'DIA_Giả Định'!$J$5))))</f>
        <v>1285231715013830</v>
      </c>
      <c r="C61" s="140" t="n">
        <f aca="false">'DIA_Giả Định'!$J$6*C$60*('DIA_Giả Định'!$J$9*$A$61*'DIA_Giả Định'!$J$5+'DIA_Giả Định'!$J$10*$A$61*'DIA_Giả Định'!$J$5*(1-(1-'DIA_Giả Định'!$J$36/('DIA_Giả Định'!$J$35*'DIA_Giả Định'!$J$5))))</f>
        <v>1428035238904255</v>
      </c>
      <c r="D61" s="140" t="n">
        <f aca="false">'DIA_Giả Định'!$J$6*D$60*('DIA_Giả Định'!$J$9*$A$61*'DIA_Giả Định'!$J$5+'DIA_Giả Định'!$J$10*$A$61*'DIA_Giả Định'!$J$5*(1-(1-'DIA_Giả Định'!$J$36/('DIA_Giả Định'!$J$35*'DIA_Giả Định'!$J$5))))</f>
        <v>1570838762794680</v>
      </c>
      <c r="E61" s="140" t="n">
        <f aca="false">'DIA_Giả Định'!$J$6*E$60*('DIA_Giả Định'!$J$9*$A$61*'DIA_Giả Định'!$J$5+'DIA_Giả Định'!$J$10*$A$61*'DIA_Giả Định'!$J$5*(1-(1-'DIA_Giả Định'!$J$36/('DIA_Giả Định'!$J$35*'DIA_Giả Định'!$J$5))))</f>
        <v>1713642286685110</v>
      </c>
      <c r="F61" s="2"/>
      <c r="G61" s="149" t="n">
        <f aca="false">(('DIA_Giả Định'!$J$25*'DIA_Giả Định'!$J$38+'DIA_Giả Định'!$J$26*'DIA_Giả Định'!$J$37)/('DIA_Giả Định'!$J$25+'DIA_Giả Định'!$J$26))*'DIA_Giả Định'!$N$144</f>
        <v>2812063.311346</v>
      </c>
      <c r="H61" s="140" t="n">
        <f aca="false">$G$61*H$60*'DIA_Giả Định'!$J$5</f>
        <v>1214811350.50147</v>
      </c>
      <c r="I61" s="140" t="n">
        <f aca="false">$G$61*I$60*'DIA_Giả Định'!$J$5</f>
        <v>1349790389.44608</v>
      </c>
      <c r="J61" s="140" t="n">
        <f aca="false">$G$61*J$60*'DIA_Giả Định'!$J$5</f>
        <v>1484769428.39069</v>
      </c>
      <c r="K61" s="140" t="n">
        <f aca="false">$G$61*K$60*'DIA_Giả Định'!$J$5</f>
        <v>1619748467.3353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32.25" hidden="false" customHeight="true" outlineLevel="0" collapsed="false">
      <c r="A62" s="149" t="n">
        <f aca="false">'DIA_Giả Định'!$J$35*'DIA_Giả Định'!$N$145</f>
        <v>42834.709359</v>
      </c>
      <c r="B62" s="140" t="n">
        <f aca="false">'DIA_Giả Định'!$J$6*B$60*('DIA_Giả Định'!$J$9*$A$62*'DIA_Giả Định'!$J$5+'DIA_Giả Định'!$J$10*$A$62*'DIA_Giả Định'!$J$5*(1-(1-'DIA_Giả Định'!$J$36/('DIA_Giả Định'!$J$35*'DIA_Giả Định'!$J$5))))</f>
        <v>1445885679390558</v>
      </c>
      <c r="C62" s="140" t="n">
        <f aca="false">'DIA_Giả Định'!$J$6*C$60*('DIA_Giả Định'!$J$9*$A$62*'DIA_Giả Định'!$J$5+'DIA_Giả Định'!$J$10*$A$62*'DIA_Giả Định'!$J$5*(1-(1-'DIA_Giả Định'!$J$36/('DIA_Giả Định'!$J$35*'DIA_Giả Định'!$J$5))))</f>
        <v>1606539643767290</v>
      </c>
      <c r="D62" s="140" t="n">
        <f aca="false">'DIA_Giả Định'!$J$6*D$60*('DIA_Giả Định'!$J$9*$A$62*'DIA_Giả Định'!$J$5+'DIA_Giả Định'!$J$10*$A$62*'DIA_Giả Định'!$J$5*(1-(1-'DIA_Giả Định'!$J$36/('DIA_Giả Định'!$J$35*'DIA_Giả Định'!$J$5))))</f>
        <v>1767193608144020</v>
      </c>
      <c r="E62" s="140" t="n">
        <f aca="false">'DIA_Giả Định'!$J$6*E$60*('DIA_Giả Định'!$J$9*$A$62*'DIA_Giả Định'!$J$5+'DIA_Giả Định'!$J$10*$A$62*'DIA_Giả Định'!$J$5*(1-(1-'DIA_Giả Định'!$J$36/('DIA_Giả Định'!$J$35*'DIA_Giả Định'!$J$5))))</f>
        <v>1927847572520740</v>
      </c>
      <c r="F62" s="2"/>
      <c r="G62" s="149" t="n">
        <f aca="false">(('DIA_Giả Định'!$J$25*'DIA_Giả Định'!$J$38+'DIA_Giả Định'!$J$26*'DIA_Giả Định'!$J$37)/('DIA_Giả Định'!$J$25+'DIA_Giả Định'!$J$26))*'DIA_Giả Định'!$N$145</f>
        <v>3163571.22526425</v>
      </c>
      <c r="H62" s="140" t="n">
        <f aca="false">$G$62*H$60*'DIA_Giả Định'!$J$5</f>
        <v>1366662769.31416</v>
      </c>
      <c r="I62" s="140" t="n">
        <f aca="false">$G$62*I$60*'DIA_Giả Định'!$J$5</f>
        <v>1518514188.12684</v>
      </c>
      <c r="J62" s="140" t="n">
        <f aca="false">$G$62*J$60*'DIA_Giả Định'!$J$5</f>
        <v>1670365606.93952</v>
      </c>
      <c r="K62" s="140" t="n">
        <f aca="false">$G$62*K$60*'DIA_Giả Định'!$J$5</f>
        <v>1822217025.75221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32.25" hidden="false" customHeight="true" outlineLevel="0" collapsed="false">
      <c r="A63" s="149" t="n">
        <f aca="false">'DIA_Giả Định'!$J$35*'DIA_Giả Định'!$N$146</f>
        <v>47594.12151</v>
      </c>
      <c r="B63" s="140" t="n">
        <f aca="false">'DIA_Giả Định'!$J$6*B$60*('DIA_Giả Định'!$J$9*$A$63*'DIA_Giả Định'!$J$5+'DIA_Giả Định'!$J$10*$A$63*'DIA_Giả Định'!$J$5*(1-(1-'DIA_Giả Định'!$J$36/('DIA_Giả Định'!$J$35*'DIA_Giả Định'!$J$5))))</f>
        <v>1606539643767290</v>
      </c>
      <c r="C63" s="140" t="n">
        <f aca="false">'DIA_Giả Định'!$J$6*C$60*('DIA_Giả Định'!$J$9*$A$63*'DIA_Giả Định'!$J$5+'DIA_Giả Định'!$J$10*$A$63*'DIA_Giả Định'!$J$5*(1-(1-'DIA_Giả Định'!$J$36/('DIA_Giả Định'!$J$35*'DIA_Giả Định'!$J$5))))</f>
        <v>1785044048630320</v>
      </c>
      <c r="D63" s="140" t="n">
        <f aca="false">'DIA_Giả Định'!$J$6*D$60*('DIA_Giả Định'!$J$9*$A$63*'DIA_Giả Định'!$J$5+'DIA_Giả Định'!$J$10*$A$63*'DIA_Giả Định'!$J$5*(1-(1-'DIA_Giả Định'!$J$36/('DIA_Giả Định'!$J$35*'DIA_Giả Định'!$J$5))))</f>
        <v>1963548453493350</v>
      </c>
      <c r="E63" s="140" t="n">
        <f aca="false">'DIA_Giả Định'!$J$6*E$60*('DIA_Giả Định'!$J$9*$A$63*'DIA_Giả Định'!$J$5+'DIA_Giả Định'!$J$10*$A$63*'DIA_Giả Định'!$J$5*(1-(1-'DIA_Giả Định'!$J$36/('DIA_Giả Định'!$J$35*'DIA_Giả Định'!$J$5))))</f>
        <v>2142052858356380</v>
      </c>
      <c r="F63" s="2"/>
      <c r="G63" s="149" t="n">
        <f aca="false">(('DIA_Giả Định'!$J$25*'DIA_Giả Định'!$J$38+'DIA_Giả Định'!$J$26*'DIA_Giả Định'!$J$37)/('DIA_Giả Định'!$J$25+'DIA_Giả Định'!$J$26))*'DIA_Giả Định'!$N$146</f>
        <v>3515079.1391825</v>
      </c>
      <c r="H63" s="140" t="n">
        <f aca="false">$G$63*H$60*'DIA_Giả Định'!$J$5</f>
        <v>1518514188.12684</v>
      </c>
      <c r="I63" s="140" t="n">
        <f aca="false">$G$63*I$60*'DIA_Giả Định'!$J$5</f>
        <v>1687237986.8076</v>
      </c>
      <c r="J63" s="140" t="n">
        <f aca="false">$G$63*J$60*'DIA_Giả Định'!$J$5</f>
        <v>1855961785.48836</v>
      </c>
      <c r="K63" s="140" t="n">
        <f aca="false">$G$63*K$60*'DIA_Giả Định'!$J$5</f>
        <v>2024685584.16912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32.25" hidden="false" customHeight="true" outlineLevel="0" collapsed="false">
      <c r="A64" s="149" t="n">
        <f aca="false">'DIA_Giả Định'!$J$35*'DIA_Giả Định'!$N$147</f>
        <v>52353.533661</v>
      </c>
      <c r="B64" s="140" t="n">
        <f aca="false">'DIA_Giả Định'!$J$6*B$60*('DIA_Giả Định'!$J$9*$A$64*'DIA_Giả Định'!$J$5+'DIA_Giả Định'!$J$10*$A$64*'DIA_Giả Định'!$J$5*(1-(1-'DIA_Giả Định'!$J$36/('DIA_Giả Định'!$J$35*'DIA_Giả Định'!$J$5))))</f>
        <v>1767193608144020</v>
      </c>
      <c r="C64" s="140" t="n">
        <f aca="false">'DIA_Giả Định'!$J$6*C$60*('DIA_Giả Định'!$J$9*$A$64*'DIA_Giả Định'!$J$5+'DIA_Giả Định'!$J$10*$A$64*'DIA_Giả Định'!$J$5*(1-(1-'DIA_Giả Định'!$J$36/('DIA_Giả Định'!$J$35*'DIA_Giả Định'!$J$5))))</f>
        <v>1963548453493350</v>
      </c>
      <c r="D64" s="140" t="n">
        <f aca="false">'DIA_Giả Định'!$J$6*D$60*('DIA_Giả Định'!$J$9*$A$64*'DIA_Giả Định'!$J$5+'DIA_Giả Định'!$J$10*$A$64*'DIA_Giả Định'!$J$5*(1-(1-'DIA_Giả Định'!$J$36/('DIA_Giả Định'!$J$35*'DIA_Giả Định'!$J$5))))</f>
        <v>2159903298842690</v>
      </c>
      <c r="E64" s="140" t="n">
        <f aca="false">'DIA_Giả Định'!$J$6*E$60*('DIA_Giả Định'!$J$9*$A$64*'DIA_Giả Định'!$J$5+'DIA_Giả Định'!$J$10*$A$64*'DIA_Giả Định'!$J$5*(1-(1-'DIA_Giả Định'!$J$36/('DIA_Giả Định'!$J$35*'DIA_Giả Định'!$J$5))))</f>
        <v>2356258144192020</v>
      </c>
      <c r="F64" s="2"/>
      <c r="G64" s="149" t="n">
        <f aca="false">(('DIA_Giả Định'!$J$25*'DIA_Giả Định'!$J$38+'DIA_Giả Định'!$J$26*'DIA_Giả Định'!$J$37)/('DIA_Giả Định'!$J$25+'DIA_Giả Định'!$J$26))*'DIA_Giả Định'!$N$147</f>
        <v>3866587.05310075</v>
      </c>
      <c r="H64" s="140" t="n">
        <f aca="false">$G$64*H$60*'DIA_Giả Định'!$J$5</f>
        <v>1670365606.93952</v>
      </c>
      <c r="I64" s="140" t="n">
        <f aca="false">$G$64*I$60*'DIA_Giả Định'!$J$5</f>
        <v>1855961785.48836</v>
      </c>
      <c r="J64" s="140" t="n">
        <f aca="false">$G$64*J$60*'DIA_Giả Định'!$J$5</f>
        <v>2041557964.0372</v>
      </c>
      <c r="K64" s="140" t="n">
        <f aca="false">$G$64*K$60*'DIA_Giả Định'!$J$5</f>
        <v>2227154142.58603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32.25" hidden="false" customHeight="true" outlineLevel="0" collapsed="false">
      <c r="A65" s="149" t="n">
        <f aca="false">'DIA_Giả Định'!$J$35*'DIA_Giả Định'!$N$148</f>
        <v>57112.945812</v>
      </c>
      <c r="B65" s="140" t="n">
        <f aca="false">'DIA_Giả Định'!$J$6*B$60*('DIA_Giả Định'!$J$9*$A$65*'DIA_Giả Định'!$J$5+'DIA_Giả Định'!$J$10*$A$65*'DIA_Giả Định'!$J$5*(1-(1-'DIA_Giả Định'!$J$36/('DIA_Giả Định'!$J$35*'DIA_Giả Định'!$J$5))))</f>
        <v>1927847572520744</v>
      </c>
      <c r="C65" s="140" t="n">
        <f aca="false">'DIA_Giả Định'!$J$6*C$60*('DIA_Giả Định'!$J$9*$A$65*'DIA_Giả Định'!$J$5+'DIA_Giả Định'!$J$10*$A$65*'DIA_Giả Định'!$J$5*(1-(1-'DIA_Giả Định'!$J$36/('DIA_Giả Định'!$J$35*'DIA_Giả Định'!$J$5))))</f>
        <v>2142052858356382</v>
      </c>
      <c r="D65" s="140" t="n">
        <f aca="false">'DIA_Giả Định'!$J$6*D$60*('DIA_Giả Định'!$J$9*$A$65*'DIA_Giả Định'!$J$5+'DIA_Giả Định'!$J$10*$A$65*'DIA_Giả Định'!$J$5*(1-(1-'DIA_Giả Định'!$J$36/('DIA_Giả Định'!$J$35*'DIA_Giả Định'!$J$5))))</f>
        <v>2356258144192020</v>
      </c>
      <c r="E65" s="140" t="n">
        <f aca="false">'DIA_Giả Định'!$J$6*E$60*('DIA_Giả Định'!$J$9*$A$65*'DIA_Giả Định'!$J$5+'DIA_Giả Định'!$J$10*$A$65*'DIA_Giả Định'!$J$5*(1-(1-'DIA_Giả Định'!$J$36/('DIA_Giả Định'!$J$35*'DIA_Giả Định'!$J$5))))</f>
        <v>2570463430027660</v>
      </c>
      <c r="F65" s="2"/>
      <c r="G65" s="149" t="n">
        <f aca="false">(('DIA_Giả Định'!$J$25*'DIA_Giả Định'!$J$38+'DIA_Giả Định'!$J$26*'DIA_Giả Định'!$J$37)/('DIA_Giả Định'!$J$25+'DIA_Giả Định'!$J$26))*'DIA_Giả Định'!$N$148</f>
        <v>4218094.967019</v>
      </c>
      <c r="H65" s="140" t="n">
        <f aca="false">$G$65*H$60*'DIA_Giả Định'!$J$5</f>
        <v>1822217025.75221</v>
      </c>
      <c r="I65" s="140" t="n">
        <f aca="false">$G$65*I$60*'DIA_Giả Định'!$J$5</f>
        <v>2024685584.16912</v>
      </c>
      <c r="J65" s="140" t="n">
        <f aca="false">$G$65*J$60*'DIA_Giả Định'!$J$5</f>
        <v>2227154142.58603</v>
      </c>
      <c r="K65" s="140" t="n">
        <f aca="false">$G$65*K$60*'DIA_Giả Định'!$J$5</f>
        <v>2429622701.00294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7.25" hidden="false" customHeight="true" outlineLevel="0" collapsed="false">
      <c r="A69" s="137" t="s">
        <v>566</v>
      </c>
      <c r="B69" s="137"/>
      <c r="C69" s="137"/>
      <c r="D69" s="137"/>
      <c r="E69" s="137"/>
      <c r="F69" s="2"/>
      <c r="G69" s="137" t="s">
        <v>567</v>
      </c>
      <c r="H69" s="137"/>
      <c r="I69" s="137"/>
      <c r="J69" s="137"/>
      <c r="K69" s="137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32.25" hidden="false" customHeight="true" outlineLevel="0" collapsed="false">
      <c r="A70" s="146" t="s">
        <v>568</v>
      </c>
      <c r="B70" s="150" t="n">
        <f aca="false">'DIA_Giả Định'!$J$23*'DIA_Giả Định'!$N$144</f>
        <v>1.2</v>
      </c>
      <c r="C70" s="150" t="n">
        <f aca="false">'DIA_Giả Định'!$J$23*'DIA_Giả Định'!$N$145</f>
        <v>1.35</v>
      </c>
      <c r="D70" s="150" t="n">
        <f aca="false">'DIA_Giả Định'!$J$23*'DIA_Giả Định'!$N$146</f>
        <v>1.5</v>
      </c>
      <c r="E70" s="150" t="n">
        <f aca="false">'DIA_Giả Định'!$J$23*'DIA_Giả Định'!$N$148</f>
        <v>1.8</v>
      </c>
      <c r="F70" s="2"/>
      <c r="G70" s="146" t="s">
        <v>569</v>
      </c>
      <c r="H70" s="147" t="n">
        <f aca="false">'DIA_Giả Định'!$J$17*'DIA_Giả Định'!$N$145</f>
        <v>0.045</v>
      </c>
      <c r="I70" s="147" t="n">
        <f aca="false">'DIA_Giả Định'!$J$17*'DIA_Giả Định'!$N$146</f>
        <v>0.05</v>
      </c>
      <c r="J70" s="147" t="n">
        <f aca="false">'DIA_Giả Định'!$J$17*'DIA_Giả Định'!$N$147</f>
        <v>0.0550000000000001</v>
      </c>
      <c r="K70" s="147" t="n">
        <f aca="false">'DIA_Giả Định'!$J$17*'DIA_Giả Định'!$N$148</f>
        <v>0.0600000000000001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7.25" hidden="false" customHeight="true" outlineLevel="0" collapsed="false">
      <c r="A71" s="149" t="n">
        <f aca="false">'DIA_Giả Định'!$J$45*'DIA_Giả Định'!$N$144</f>
        <v>112</v>
      </c>
      <c r="B71" s="140" t="n">
        <f aca="false">'DIA_Giả Định'!$J$6*'DIA_Giả Định'!$J$7*$A$71*B$70*'DIA_Giả Định'!$J$5</f>
        <v>62092800</v>
      </c>
      <c r="C71" s="140" t="n">
        <f aca="false">'DIA_Giả Định'!$J$6*'DIA_Giả Định'!$J$7*$A$71*C$70*'DIA_Giả Định'!$J$5</f>
        <v>69854400</v>
      </c>
      <c r="D71" s="140" t="n">
        <f aca="false">'DIA_Giả Định'!$J$6*'DIA_Giả Định'!$J$7*$A$71*D$70*'DIA_Giả Định'!$J$5</f>
        <v>77616000</v>
      </c>
      <c r="E71" s="140" t="n">
        <f aca="false">'DIA_Giả Định'!$J$6*'DIA_Giả Định'!$J$7*$A$71*E$70*'DIA_Giả Định'!$J$5</f>
        <v>93139200</v>
      </c>
      <c r="F71" s="2"/>
      <c r="G71" s="149" t="n">
        <f aca="false">'DIA_Hiệu Quả TC'!$D$87*'DIA_Giả Định'!$N$144</f>
        <v>58965.9937955095</v>
      </c>
      <c r="H71" s="151" t="n">
        <f aca="false">IFERROR(('DIA_Giá và Doanh Thu'!$H$21*'DIA_Hiệu Quả TC'!$D$35/H$70)/$G$71,0)</f>
        <v>8.63338073352741</v>
      </c>
      <c r="I71" s="151" t="n">
        <f aca="false">IFERROR(('DIA_Giá và Doanh Thu'!$H$21*'DIA_Hiệu Quả TC'!$D$35/I$70)/$G$71,0)</f>
        <v>7.77004266017467</v>
      </c>
      <c r="J71" s="151" t="n">
        <f aca="false">IFERROR(('DIA_Giá và Doanh Thu'!$H$21*'DIA_Hiệu Quả TC'!$D$35/J$70)/$G$71,0)</f>
        <v>7.06367514561334</v>
      </c>
      <c r="K71" s="151" t="n">
        <f aca="false">IFERROR(('DIA_Giá và Doanh Thu'!$H$21*'DIA_Hiệu Quả TC'!$D$35/K$70)/$G$71,0)</f>
        <v>6.47503555014556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7.25" hidden="false" customHeight="true" outlineLevel="0" collapsed="false">
      <c r="A72" s="149" t="n">
        <f aca="false">'DIA_Giả Định'!$J$45*'DIA_Giả Định'!$N$145</f>
        <v>126</v>
      </c>
      <c r="B72" s="140" t="n">
        <f aca="false">'DIA_Giả Định'!$J$6*'DIA_Giả Định'!$J$7*$A$72*B$70*'DIA_Giả Định'!$J$5</f>
        <v>69854400</v>
      </c>
      <c r="C72" s="140" t="n">
        <f aca="false">'DIA_Giả Định'!$J$6*'DIA_Giả Định'!$J$7*$A$72*C$70*'DIA_Giả Định'!$J$5</f>
        <v>78586200</v>
      </c>
      <c r="D72" s="140" t="n">
        <f aca="false">'DIA_Giả Định'!$J$6*'DIA_Giả Định'!$J$7*$A$72*D$70*'DIA_Giả Định'!$J$5</f>
        <v>87318000</v>
      </c>
      <c r="E72" s="140" t="n">
        <f aca="false">'DIA_Giả Định'!$J$6*'DIA_Giả Định'!$J$7*$A$72*E$70*'DIA_Giả Định'!$J$5</f>
        <v>104781600</v>
      </c>
      <c r="F72" s="2"/>
      <c r="G72" s="149" t="n">
        <f aca="false">'DIA_Hiệu Quả TC'!$D$87*'DIA_Giả Định'!$N$145</f>
        <v>66336.7430199482</v>
      </c>
      <c r="H72" s="151" t="n">
        <f aca="false">IFERROR(('DIA_Giá và Doanh Thu'!$H$21*'DIA_Hiệu Quả TC'!$D$35/H$70)/$G$72,0)</f>
        <v>7.67411620757992</v>
      </c>
      <c r="I72" s="151" t="n">
        <f aca="false">IFERROR(('DIA_Giá và Doanh Thu'!$H$21*'DIA_Hiệu Quả TC'!$D$35/I$70)/$G$72,0)</f>
        <v>6.90670458682193</v>
      </c>
      <c r="J72" s="151" t="n">
        <f aca="false">IFERROR(('DIA_Giá và Doanh Thu'!$H$21*'DIA_Hiệu Quả TC'!$D$35/J$70)/$G$72,0)</f>
        <v>6.2788223516563</v>
      </c>
      <c r="K72" s="151" t="n">
        <f aca="false">IFERROR(('DIA_Giá và Doanh Thu'!$H$21*'DIA_Hiệu Quả TC'!$D$35/K$70)/$G$72,0)</f>
        <v>5.75558715568494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7.25" hidden="false" customHeight="true" outlineLevel="0" collapsed="false">
      <c r="A73" s="149" t="n">
        <f aca="false">'DIA_Giả Định'!$J$45*'DIA_Giả Định'!$N$146</f>
        <v>140</v>
      </c>
      <c r="B73" s="140" t="n">
        <f aca="false">'DIA_Giả Định'!$J$6*'DIA_Giả Định'!$J$7*$A$73*B$70*'DIA_Giả Định'!$J$5</f>
        <v>77616000</v>
      </c>
      <c r="C73" s="140" t="n">
        <f aca="false">'DIA_Giả Định'!$J$6*'DIA_Giả Định'!$J$7*$A$73*C$70*'DIA_Giả Định'!$J$5</f>
        <v>87318000</v>
      </c>
      <c r="D73" s="140" t="n">
        <f aca="false">'DIA_Giả Định'!$J$6*'DIA_Giả Định'!$J$7*$A$73*D$70*'DIA_Giả Định'!$J$5</f>
        <v>97020000</v>
      </c>
      <c r="E73" s="140" t="n">
        <f aca="false">'DIA_Giả Định'!$J$6*'DIA_Giả Định'!$J$7*$A$73*E$70*'DIA_Giả Định'!$J$5</f>
        <v>116424000</v>
      </c>
      <c r="F73" s="2"/>
      <c r="G73" s="149" t="n">
        <f aca="false">'DIA_Hiệu Quả TC'!$D$87*'DIA_Giả Định'!$N$146</f>
        <v>73707.4922443869</v>
      </c>
      <c r="H73" s="151" t="n">
        <f aca="false">IFERROR(('DIA_Giá và Doanh Thu'!$H$21*'DIA_Hiệu Quả TC'!$D$35/H$70)/$G$73,0)</f>
        <v>6.90670458682193</v>
      </c>
      <c r="I73" s="151" t="n">
        <f aca="false">IFERROR(('DIA_Giá và Doanh Thu'!$H$21*'DIA_Hiệu Quả TC'!$D$35/I$70)/$G$73,0)</f>
        <v>6.21603412813974</v>
      </c>
      <c r="J73" s="151" t="n">
        <f aca="false">IFERROR(('DIA_Giá và Doanh Thu'!$H$21*'DIA_Hiệu Quả TC'!$D$35/J$70)/$G$73,0)</f>
        <v>5.65094011649067</v>
      </c>
      <c r="K73" s="151" t="n">
        <f aca="false">IFERROR(('DIA_Giá và Doanh Thu'!$H$21*'DIA_Hiệu Quả TC'!$D$35/K$70)/$G$73,0)</f>
        <v>5.18002844011645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32.25" hidden="false" customHeight="true" outlineLevel="0" collapsed="false">
      <c r="A74" s="149" t="n">
        <f aca="false">'DIA_Giả Định'!$J$45*'DIA_Giả Định'!$N$147</f>
        <v>154</v>
      </c>
      <c r="B74" s="140" t="n">
        <f aca="false">'DIA_Giả Định'!$J$6*'DIA_Giả Định'!$J$7*$A$74*B$70*'DIA_Giả Định'!$J$5</f>
        <v>85377600</v>
      </c>
      <c r="C74" s="140" t="n">
        <f aca="false">'DIA_Giả Định'!$J$6*'DIA_Giả Định'!$J$7*$A$74*C$70*'DIA_Giả Định'!$J$5</f>
        <v>96049800</v>
      </c>
      <c r="D74" s="140" t="n">
        <f aca="false">'DIA_Giả Định'!$J$6*'DIA_Giả Định'!$J$7*$A$74*D$70*'DIA_Giả Định'!$J$5</f>
        <v>106722000</v>
      </c>
      <c r="E74" s="140" t="n">
        <f aca="false">'DIA_Giả Định'!$J$6*'DIA_Giả Định'!$J$7*$A$74*E$70*'DIA_Giả Định'!$J$5</f>
        <v>128066400</v>
      </c>
      <c r="F74" s="2"/>
      <c r="G74" s="149" t="n">
        <f aca="false">'DIA_Hiệu Quả TC'!$D$87*'DIA_Giả Định'!$N$147</f>
        <v>81078.2414688256</v>
      </c>
      <c r="H74" s="151" t="n">
        <f aca="false">IFERROR(('DIA_Giá và Doanh Thu'!$H$21*'DIA_Hiệu Quả TC'!$D$35/H$70)/$G$74,0)</f>
        <v>6.2788223516563</v>
      </c>
      <c r="I74" s="151" t="n">
        <f aca="false">IFERROR(('DIA_Giá và Doanh Thu'!$H$21*'DIA_Hiệu Quả TC'!$D$35/I$70)/$G$74,0)</f>
        <v>5.65094011649067</v>
      </c>
      <c r="J74" s="151" t="n">
        <f aca="false">IFERROR(('DIA_Giá và Doanh Thu'!$H$21*'DIA_Hiệu Quả TC'!$D$35/J$70)/$G$74,0)</f>
        <v>5.13721828771879</v>
      </c>
      <c r="K74" s="151" t="n">
        <f aca="false">IFERROR(('DIA_Giá và Doanh Thu'!$H$21*'DIA_Hiệu Quả TC'!$D$35/K$70)/$G$74,0)</f>
        <v>4.70911676374223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32.25" hidden="false" customHeight="true" outlineLevel="0" collapsed="false">
      <c r="A75" s="149" t="n">
        <f aca="false">'DIA_Giả Định'!$J$45*'DIA_Giả Định'!$N$148</f>
        <v>168</v>
      </c>
      <c r="B75" s="140" t="n">
        <f aca="false">'DIA_Giả Định'!$J$6*'DIA_Giả Định'!$J$7*$A$75*B$70*'DIA_Giả Định'!$J$5</f>
        <v>93139200</v>
      </c>
      <c r="C75" s="140" t="n">
        <f aca="false">'DIA_Giả Định'!$J$6*'DIA_Giả Định'!$J$7*$A$75*C$70*'DIA_Giả Định'!$J$5</f>
        <v>104781600</v>
      </c>
      <c r="D75" s="140" t="n">
        <f aca="false">'DIA_Giả Định'!$J$6*'DIA_Giả Định'!$J$7*$A$75*D$70*'DIA_Giả Định'!$J$5</f>
        <v>116424000</v>
      </c>
      <c r="E75" s="140" t="n">
        <f aca="false">'DIA_Giả Định'!$J$6*'DIA_Giả Định'!$J$7*$A$75*E$70*'DIA_Giả Định'!$J$5</f>
        <v>139708800</v>
      </c>
      <c r="F75" s="2"/>
      <c r="G75" s="149" t="n">
        <f aca="false">'DIA_Hiệu Quả TC'!$D$87*'DIA_Giả Định'!$N$148</f>
        <v>88448.9906932643</v>
      </c>
      <c r="H75" s="151" t="n">
        <f aca="false">IFERROR(('DIA_Giá và Doanh Thu'!$H$21*'DIA_Hiệu Quả TC'!$D$35/H$70)/$G$75,0)</f>
        <v>5.75558715568494</v>
      </c>
      <c r="I75" s="151" t="n">
        <f aca="false">IFERROR(('DIA_Giá và Doanh Thu'!$H$21*'DIA_Hiệu Quả TC'!$D$35/I$70)/$G$75,0)</f>
        <v>5.18002844011645</v>
      </c>
      <c r="J75" s="151" t="n">
        <f aca="false">IFERROR(('DIA_Giá và Doanh Thu'!$H$21*'DIA_Hiệu Quả TC'!$D$35/J$70)/$G$75,0)</f>
        <v>4.70911676374222</v>
      </c>
      <c r="K75" s="151" t="n">
        <f aca="false">IFERROR(('DIA_Giá và Doanh Thu'!$H$21*'DIA_Hiệu Quả TC'!$D$35/K$70)/$G$75,0)</f>
        <v>4.31669036676371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3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3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3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3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3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3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3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3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3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3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3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3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3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3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3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3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3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3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3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3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3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3.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3.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3.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3.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3.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3.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3.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1">
    <mergeCell ref="A1:L1"/>
    <mergeCell ref="A2:L2"/>
    <mergeCell ref="A4:E4"/>
    <mergeCell ref="B20:D20"/>
    <mergeCell ref="E20:G20"/>
    <mergeCell ref="H20:J20"/>
    <mergeCell ref="A57:L57"/>
    <mergeCell ref="A59:E59"/>
    <mergeCell ref="G59:K59"/>
    <mergeCell ref="A69:E69"/>
    <mergeCell ref="G69:K69"/>
  </mergeCells>
  <conditionalFormatting sqref="B61:E65">
    <cfRule type="colorScale" priority="2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conditionalFormatting sqref="B71:E75">
    <cfRule type="colorScale" priority="3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conditionalFormatting sqref="H61:K65">
    <cfRule type="colorScale" priority="4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conditionalFormatting sqref="H71:K75">
    <cfRule type="colorScale" priority="5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9"/>
  <sheetViews>
    <sheetView showFormulas="false" showGridLines="false" showRowColHeaders="true" showZeros="true" rightToLeft="false" tabSelected="false" showOutlineSymbols="true" defaultGridColor="true" view="normal" topLeftCell="A70" colorId="64" zoomScale="70" zoomScaleNormal="70" zoomScalePageLayoutView="100" workbookViewId="0">
      <selection pane="topLeft" activeCell="F74" activeCellId="0" sqref="F74"/>
    </sheetView>
  </sheetViews>
  <sheetFormatPr defaultColWidth="12.6328125" defaultRowHeight="14.25" zeroHeight="false" outlineLevelRow="0" outlineLevelCol="0"/>
  <cols>
    <col collapsed="false" customWidth="true" hidden="false" outlineLevel="0" max="1" min="1" style="0" width="50.36"/>
    <col collapsed="false" customWidth="true" hidden="false" outlineLevel="0" max="2" min="2" style="0" width="26.09"/>
    <col collapsed="false" customWidth="true" hidden="false" outlineLevel="0" max="3" min="3" style="0" width="28.18"/>
    <col collapsed="false" customWidth="true" hidden="false" outlineLevel="0" max="4" min="4" style="0" width="28.73"/>
    <col collapsed="false" customWidth="true" hidden="false" outlineLevel="0" max="5" min="5" style="0" width="30.09"/>
    <col collapsed="false" customWidth="true" hidden="false" outlineLevel="0" max="6" min="6" style="0" width="18"/>
    <col collapsed="false" customWidth="true" hidden="false" outlineLevel="0" max="26" min="7" style="0" width="8.63"/>
  </cols>
  <sheetData>
    <row r="1" customFormat="false" ht="24" hidden="false" customHeight="true" outlineLevel="0" collapsed="false">
      <c r="A1" s="152" t="s">
        <v>570</v>
      </c>
      <c r="B1" s="152"/>
      <c r="C1" s="152"/>
      <c r="D1" s="152"/>
      <c r="E1" s="152"/>
      <c r="F1" s="153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</row>
    <row r="2" customFormat="false" ht="13.5" hidden="false" customHeight="true" outlineLevel="0" collapsed="false">
      <c r="A2" s="155"/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</row>
    <row r="3" customFormat="false" ht="18" hidden="false" customHeight="true" outlineLevel="0" collapsed="false">
      <c r="A3" s="156" t="s">
        <v>571</v>
      </c>
      <c r="B3" s="156"/>
      <c r="C3" s="156"/>
      <c r="D3" s="156"/>
      <c r="E3" s="156"/>
      <c r="F3" s="157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</row>
    <row r="4" customFormat="false" ht="18" hidden="false" customHeight="true" outlineLevel="0" collapsed="false">
      <c r="A4" s="158" t="s">
        <v>522</v>
      </c>
      <c r="B4" s="158" t="s">
        <v>572</v>
      </c>
      <c r="C4" s="158" t="s">
        <v>8</v>
      </c>
      <c r="D4" s="158"/>
      <c r="E4" s="158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</row>
    <row r="5" customFormat="false" ht="18" hidden="false" customHeight="true" outlineLevel="0" collapsed="false">
      <c r="A5" s="159" t="s">
        <v>514</v>
      </c>
      <c r="B5" s="160" t="n">
        <f aca="false">'DIA_Chi Phí'!$D$21</f>
        <v>1755250000</v>
      </c>
      <c r="C5" s="161" t="s">
        <v>573</v>
      </c>
      <c r="D5" s="161"/>
      <c r="E5" s="161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</row>
    <row r="6" customFormat="false" ht="18" hidden="false" customHeight="true" outlineLevel="0" collapsed="false">
      <c r="A6" s="159" t="s">
        <v>453</v>
      </c>
      <c r="B6" s="160" t="n">
        <f aca="false">SUMIF('DIA_Chi Phí'!$I$6:$I$20,"Tài sản hữu hình",'DIA_Chi Phí'!$D$6:$D$20)</f>
        <v>139800000</v>
      </c>
      <c r="C6" s="161" t="s">
        <v>573</v>
      </c>
      <c r="D6" s="161"/>
      <c r="E6" s="161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</row>
    <row r="7" customFormat="false" ht="33.75" hidden="false" customHeight="true" outlineLevel="0" collapsed="false">
      <c r="A7" s="159" t="s">
        <v>574</v>
      </c>
      <c r="B7" s="160" t="n">
        <f aca="false">SUMIF('DIA_Chi Phí'!$I$6:$I$20,"Phần mềm",'DIA_Chi Phí'!$D$6:$D$20)</f>
        <v>454450000</v>
      </c>
      <c r="C7" s="161" t="s">
        <v>573</v>
      </c>
      <c r="D7" s="161"/>
      <c r="E7" s="161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</row>
    <row r="8" customFormat="false" ht="18" hidden="false" customHeight="true" outlineLevel="0" collapsed="false">
      <c r="A8" s="159" t="s">
        <v>463</v>
      </c>
      <c r="B8" s="160" t="n">
        <f aca="false">'DIA_Chi Phí'!$D$19</f>
        <v>300000000</v>
      </c>
      <c r="C8" s="161" t="s">
        <v>573</v>
      </c>
      <c r="D8" s="161"/>
      <c r="E8" s="161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</row>
    <row r="9" customFormat="false" ht="18" hidden="false" customHeight="true" outlineLevel="0" collapsed="false">
      <c r="A9" s="159" t="s">
        <v>575</v>
      </c>
      <c r="B9" s="160" t="n">
        <f aca="false">B5*'DIA_Giả Định'!$N$61</f>
        <v>0</v>
      </c>
      <c r="C9" s="161" t="s">
        <v>573</v>
      </c>
      <c r="D9" s="161"/>
      <c r="E9" s="161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</row>
    <row r="10" customFormat="false" ht="18" hidden="false" customHeight="true" outlineLevel="0" collapsed="false">
      <c r="A10" s="159" t="s">
        <v>576</v>
      </c>
      <c r="B10" s="160" t="n">
        <f aca="false">B5-B9</f>
        <v>1755250000</v>
      </c>
      <c r="C10" s="161" t="s">
        <v>573</v>
      </c>
      <c r="D10" s="161"/>
      <c r="E10" s="161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</row>
    <row r="11" customFormat="false" ht="18" hidden="false" customHeight="true" outlineLevel="0" collapsed="false">
      <c r="A11" s="159" t="s">
        <v>577</v>
      </c>
      <c r="B11" s="162" t="n">
        <f aca="false">'DIA_Giả Định'!$N$62</f>
        <v>0.1</v>
      </c>
      <c r="C11" s="161" t="s">
        <v>573</v>
      </c>
      <c r="D11" s="161"/>
      <c r="E11" s="161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</row>
    <row r="12" customFormat="false" ht="18" hidden="false" customHeight="true" outlineLevel="0" collapsed="false">
      <c r="A12" s="159" t="s">
        <v>578</v>
      </c>
      <c r="B12" s="162" t="n">
        <f aca="false">'DIA_Giả Định'!$N$60</f>
        <v>0.18</v>
      </c>
      <c r="C12" s="161" t="s">
        <v>573</v>
      </c>
      <c r="D12" s="161"/>
      <c r="E12" s="161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</row>
    <row r="13" customFormat="false" ht="18" hidden="false" customHeight="true" outlineLevel="0" collapsed="false">
      <c r="A13" s="159" t="s">
        <v>247</v>
      </c>
      <c r="B13" s="162" t="n">
        <f aca="false">'DIA_Giả Định'!$N$59</f>
        <v>0.2</v>
      </c>
      <c r="C13" s="161" t="s">
        <v>573</v>
      </c>
      <c r="D13" s="161"/>
      <c r="E13" s="161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</row>
    <row r="14" customFormat="false" ht="18" hidden="false" customHeight="true" outlineLevel="0" collapsed="false">
      <c r="A14" s="159" t="s">
        <v>579</v>
      </c>
      <c r="B14" s="163" t="n">
        <f aca="false">'DIA_Giả Định'!$N$64</f>
        <v>1</v>
      </c>
      <c r="C14" s="161" t="s">
        <v>573</v>
      </c>
      <c r="D14" s="161"/>
      <c r="E14" s="161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</row>
    <row r="15" customFormat="false" ht="18" hidden="false" customHeight="true" outlineLevel="0" collapsed="false">
      <c r="A15" s="159" t="s">
        <v>264</v>
      </c>
      <c r="B15" s="163" t="n">
        <f aca="false">'DIA_Giả Định'!$N$66</f>
        <v>3</v>
      </c>
      <c r="C15" s="161" t="s">
        <v>573</v>
      </c>
      <c r="D15" s="161"/>
      <c r="E15" s="161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</row>
    <row r="16" customFormat="false" ht="13.5" hidden="false" customHeight="true" outlineLevel="0" collapsed="false">
      <c r="A16" s="155"/>
      <c r="B16" s="164"/>
      <c r="C16" s="165"/>
      <c r="D16" s="165"/>
      <c r="E16" s="16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</row>
    <row r="17" customFormat="false" ht="18" hidden="false" customHeight="true" outlineLevel="0" collapsed="false">
      <c r="A17" s="156" t="s">
        <v>580</v>
      </c>
      <c r="B17" s="156"/>
      <c r="C17" s="156"/>
      <c r="D17" s="156"/>
      <c r="E17" s="156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</row>
    <row r="18" customFormat="false" ht="18" hidden="false" customHeight="true" outlineLevel="0" collapsed="false">
      <c r="A18" s="166" t="s">
        <v>581</v>
      </c>
      <c r="B18" s="166"/>
      <c r="C18" s="166"/>
      <c r="D18" s="166"/>
      <c r="E18" s="166"/>
      <c r="F18" s="167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</row>
    <row r="19" customFormat="false" ht="18" hidden="false" customHeight="true" outlineLevel="0" collapsed="false">
      <c r="A19" s="158" t="s">
        <v>522</v>
      </c>
      <c r="B19" s="158" t="s">
        <v>468</v>
      </c>
      <c r="C19" s="158" t="s">
        <v>470</v>
      </c>
      <c r="D19" s="158" t="s">
        <v>472</v>
      </c>
      <c r="E19" s="158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</row>
    <row r="20" customFormat="false" ht="18" hidden="false" customHeight="true" outlineLevel="0" collapsed="false">
      <c r="A20" s="159" t="s">
        <v>582</v>
      </c>
      <c r="B20" s="160" t="n">
        <f aca="false">IF('DIA_Giả Định'!$N$61=0,0,B9)</f>
        <v>0</v>
      </c>
      <c r="C20" s="160" t="n">
        <f aca="false">B24</f>
        <v>0</v>
      </c>
      <c r="D20" s="160" t="n">
        <f aca="false">C24</f>
        <v>0</v>
      </c>
      <c r="E20" s="168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</row>
    <row r="21" customFormat="false" ht="18" hidden="false" customHeight="true" outlineLevel="0" collapsed="false">
      <c r="A21" s="159" t="s">
        <v>583</v>
      </c>
      <c r="B21" s="160" t="n">
        <f aca="false">IF('DIA_Giả Định'!$N$61=0,0,B20*'DIA_Giả Định'!$N$62)</f>
        <v>0</v>
      </c>
      <c r="C21" s="160" t="n">
        <f aca="false">IF('DIA_Giả Định'!$N$61=0,0,C20*'DIA_Giả Định'!$O$62)</f>
        <v>0</v>
      </c>
      <c r="D21" s="160" t="n">
        <f aca="false">IF('DIA_Giả Định'!$N$61=0,0,D20*'DIA_Giả Định'!$P$62)</f>
        <v>0</v>
      </c>
      <c r="E21" s="168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</row>
    <row r="22" customFormat="false" ht="18" hidden="false" customHeight="true" outlineLevel="0" collapsed="false">
      <c r="A22" s="159" t="s">
        <v>584</v>
      </c>
      <c r="B22" s="160" t="n">
        <f aca="false">B21</f>
        <v>0</v>
      </c>
      <c r="C22" s="160" t="n">
        <f aca="false">C21</f>
        <v>0</v>
      </c>
      <c r="D22" s="160" t="n">
        <f aca="false">D21</f>
        <v>0</v>
      </c>
      <c r="E22" s="168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</row>
    <row r="23" customFormat="false" ht="18" hidden="false" customHeight="true" outlineLevel="0" collapsed="false">
      <c r="A23" s="159" t="s">
        <v>585</v>
      </c>
      <c r="B23" s="160" t="n">
        <f aca="false">IF('DIA_Giả Định'!$N$61=0,0,MIN(B20,B9/'DIA_Giả Định'!$N$71))</f>
        <v>0</v>
      </c>
      <c r="C23" s="160" t="n">
        <f aca="false">IF('DIA_Giả Định'!$N$61=0,0,MIN(C20,B9/'DIA_Giả Định'!$N$71))</f>
        <v>0</v>
      </c>
      <c r="D23" s="160" t="n">
        <f aca="false">IF('DIA_Giả Định'!$N$61=0,0,MIN(D20,B9/'DIA_Giả Định'!$N$71))</f>
        <v>0</v>
      </c>
      <c r="E23" s="168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</row>
    <row r="24" customFormat="false" ht="18" hidden="false" customHeight="true" outlineLevel="0" collapsed="false">
      <c r="A24" s="159" t="s">
        <v>586</v>
      </c>
      <c r="B24" s="160" t="n">
        <f aca="false">MAX(0,B20-B23)</f>
        <v>0</v>
      </c>
      <c r="C24" s="160" t="n">
        <f aca="false">MAX(0,C20-C23)</f>
        <v>0</v>
      </c>
      <c r="D24" s="160" t="n">
        <f aca="false">MAX(0,D20-D23)</f>
        <v>0</v>
      </c>
      <c r="E24" s="168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</row>
    <row r="25" customFormat="false" ht="18" hidden="false" customHeight="true" outlineLevel="0" collapsed="false">
      <c r="A25" s="155"/>
      <c r="B25" s="164"/>
      <c r="C25" s="164"/>
      <c r="D25" s="164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</row>
    <row r="26" customFormat="false" ht="16.5" hidden="false" customHeight="true" outlineLevel="0" collapsed="false">
      <c r="A26" s="155"/>
      <c r="B26" s="164"/>
      <c r="C26" s="164"/>
      <c r="D26" s="164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</row>
    <row r="27" customFormat="false" ht="18" hidden="false" customHeight="true" outlineLevel="0" collapsed="false">
      <c r="A27" s="166" t="s">
        <v>587</v>
      </c>
      <c r="B27" s="166"/>
      <c r="C27" s="166"/>
      <c r="D27" s="166"/>
      <c r="E27" s="166"/>
      <c r="F27" s="167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</row>
    <row r="28" customFormat="false" ht="18" hidden="false" customHeight="true" outlineLevel="0" collapsed="false">
      <c r="A28" s="158" t="s">
        <v>522</v>
      </c>
      <c r="B28" s="158" t="s">
        <v>468</v>
      </c>
      <c r="C28" s="158" t="s">
        <v>470</v>
      </c>
      <c r="D28" s="158" t="s">
        <v>472</v>
      </c>
      <c r="E28" s="158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</row>
    <row r="29" customFormat="false" ht="33.75" hidden="false" customHeight="true" outlineLevel="0" collapsed="false">
      <c r="A29" s="169" t="s">
        <v>548</v>
      </c>
      <c r="B29" s="170" t="n">
        <f aca="false">'DIA_Giá và Doanh Thu'!$F$20</f>
        <v>994450000</v>
      </c>
      <c r="C29" s="170" t="n">
        <f aca="false">'DIA_Giá và Doanh Thu'!$G$20</f>
        <v>2019266886</v>
      </c>
      <c r="D29" s="170" t="n">
        <f aca="false">'DIA_Giá và Doanh Thu'!$H$20</f>
        <v>4061175090.1354</v>
      </c>
      <c r="E29" s="171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</row>
    <row r="30" customFormat="false" ht="33.75" hidden="false" customHeight="true" outlineLevel="0" collapsed="false">
      <c r="A30" s="159" t="s">
        <v>544</v>
      </c>
      <c r="B30" s="160" t="n">
        <f aca="false">'DIA_Giá và Doanh Thu'!$F$15</f>
        <v>715680000</v>
      </c>
      <c r="C30" s="160" t="n">
        <f aca="false">'DIA_Giá và Doanh Thu'!$G$15</f>
        <v>1224161850</v>
      </c>
      <c r="D30" s="160" t="n">
        <f aca="false">'DIA_Giá và Doanh Thu'!$H$15</f>
        <v>2250333434.4624</v>
      </c>
      <c r="E30" s="168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</row>
    <row r="31" customFormat="false" ht="18" hidden="false" customHeight="true" outlineLevel="0" collapsed="false">
      <c r="A31" s="159" t="s">
        <v>545</v>
      </c>
      <c r="B31" s="160" t="n">
        <f aca="false">'DIA_Giá và Doanh Thu'!$F$16</f>
        <v>133770000</v>
      </c>
      <c r="C31" s="160" t="n">
        <f aca="false">'DIA_Giá và Doanh Thu'!$G$16</f>
        <v>530355036</v>
      </c>
      <c r="D31" s="160" t="n">
        <f aca="false">'DIA_Giá và Doanh Thu'!$H$16</f>
        <v>1298341655.673</v>
      </c>
      <c r="E31" s="168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</row>
    <row r="32" customFormat="false" ht="18" hidden="false" customHeight="true" outlineLevel="0" collapsed="false">
      <c r="A32" s="159" t="s">
        <v>588</v>
      </c>
      <c r="B32" s="160" t="n">
        <f aca="false">'DIA_Giá và Doanh Thu'!$F$18+'DIA_Giá và Doanh Thu'!$F$19</f>
        <v>85000000</v>
      </c>
      <c r="C32" s="160" t="n">
        <f aca="false">'DIA_Giá và Doanh Thu'!$G$18+'DIA_Giá và Doanh Thu'!$G$19</f>
        <v>174750000</v>
      </c>
      <c r="D32" s="160" t="n">
        <f aca="false">'DIA_Giá và Doanh Thu'!$H$18+'DIA_Giá và Doanh Thu'!$H$19</f>
        <v>362500000</v>
      </c>
      <c r="E32" s="168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</row>
    <row r="33" customFormat="false" ht="33.75" hidden="false" customHeight="true" outlineLevel="0" collapsed="false">
      <c r="A33" s="159" t="s">
        <v>549</v>
      </c>
      <c r="B33" s="160" t="n">
        <f aca="false">'DIA_Chi Phí'!$D$58</f>
        <v>554347250</v>
      </c>
      <c r="C33" s="160" t="n">
        <f aca="false">'DIA_Chi Phí'!$E$58</f>
        <v>1025688301.34</v>
      </c>
      <c r="D33" s="160" t="n">
        <f aca="false">'DIA_Chi Phí'!$F$58</f>
        <v>1977498044.99724</v>
      </c>
      <c r="E33" s="168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</row>
    <row r="34" customFormat="false" ht="33.75" hidden="false" customHeight="true" outlineLevel="0" collapsed="false">
      <c r="A34" s="169" t="s">
        <v>589</v>
      </c>
      <c r="B34" s="172" t="n">
        <f aca="false">B29-B33</f>
        <v>440102750</v>
      </c>
      <c r="C34" s="172" t="n">
        <f aca="false">C29-C33</f>
        <v>993578584.66</v>
      </c>
      <c r="D34" s="172" t="n">
        <f aca="false">D29-D33</f>
        <v>2083677045.13816</v>
      </c>
      <c r="E34" s="171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</row>
    <row r="35" customFormat="false" ht="18" hidden="false" customHeight="true" outlineLevel="0" collapsed="false">
      <c r="A35" s="159" t="s">
        <v>590</v>
      </c>
      <c r="B35" s="162" t="n">
        <f aca="false">IFERROR(B34/B29,0)</f>
        <v>0.442558952184625</v>
      </c>
      <c r="C35" s="162" t="n">
        <f aca="false">IFERROR(C34/C29,0)</f>
        <v>0.492049164748201</v>
      </c>
      <c r="D35" s="162" t="n">
        <f aca="false">IFERROR(D34/D29,0)</f>
        <v>0.513072447971873</v>
      </c>
      <c r="E35" s="168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</row>
    <row r="36" customFormat="false" ht="18" hidden="false" customHeight="true" outlineLevel="0" collapsed="false">
      <c r="A36" s="159" t="s">
        <v>591</v>
      </c>
      <c r="B36" s="160" t="n">
        <f aca="false">SUMIF('DIA_Chi Phí'!$I$26:$I$41,"Nhân sự",'DIA_Chi Phí'!$C$26:$C$41)</f>
        <v>588000000</v>
      </c>
      <c r="C36" s="160" t="n">
        <f aca="false">SUMIF('DIA_Chi Phí'!$I$26:$I$41,"Nhân sự",'DIA_Chi Phí'!$E$26:$E$41)</f>
        <v>720000000</v>
      </c>
      <c r="D36" s="160" t="n">
        <f aca="false">SUMIF('DIA_Chi Phí'!$I$26:$I$41,"Nhân sự",'DIA_Chi Phí'!$G$26:$G$41)</f>
        <v>864000000</v>
      </c>
      <c r="E36" s="168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</row>
    <row r="37" customFormat="false" ht="18" hidden="false" customHeight="true" outlineLevel="0" collapsed="false">
      <c r="A37" s="159" t="s">
        <v>592</v>
      </c>
      <c r="B37" s="160" t="n">
        <f aca="false">SUMIF('DIA_Chi Phí'!$I$26:$I$41,"Marketing",'DIA_Chi Phí'!$C$26:$C$41)</f>
        <v>180000000</v>
      </c>
      <c r="C37" s="160" t="n">
        <f aca="false">SUMIF('DIA_Chi Phí'!$I$26:$I$41,"Marketing",'DIA_Chi Phí'!$E$26:$E$41)</f>
        <v>240000000</v>
      </c>
      <c r="D37" s="160" t="n">
        <f aca="false">SUMIF('DIA_Chi Phí'!$I$26:$I$41,"Marketing",'DIA_Chi Phí'!$G$26:$G$41)</f>
        <v>300000000</v>
      </c>
      <c r="E37" s="168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</row>
    <row r="38" customFormat="false" ht="18" hidden="false" customHeight="true" outlineLevel="0" collapsed="false">
      <c r="A38" s="159" t="s">
        <v>593</v>
      </c>
      <c r="B38" s="160" t="n">
        <f aca="false">SUMIF('DIA_Chi Phí'!$I$26:$I$41,"Công nghệ",'DIA_Chi Phí'!$C$26:$C$41)</f>
        <v>345750000</v>
      </c>
      <c r="C38" s="160" t="n">
        <f aca="false">SUMIF('DIA_Chi Phí'!$I$26:$I$41,"Công nghệ",'DIA_Chi Phí'!$E$26:$E$41)</f>
        <v>441750000</v>
      </c>
      <c r="D38" s="160" t="n">
        <f aca="false">SUMIF('DIA_Chi Phí'!$I$26:$I$41,"Công nghệ",'DIA_Chi Phí'!$G$26:$G$41)</f>
        <v>573750000</v>
      </c>
      <c r="E38" s="168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</row>
    <row r="39" customFormat="false" ht="18" hidden="false" customHeight="true" outlineLevel="0" collapsed="false">
      <c r="A39" s="159" t="s">
        <v>594</v>
      </c>
      <c r="B39" s="160" t="n">
        <f aca="false">SUMIF('DIA_Chi Phí'!$I$26:$I$41,"Bán hàng &amp; QLDN",'DIA_Chi Phí'!$C$26:$C$41)</f>
        <v>528000000</v>
      </c>
      <c r="C39" s="160" t="n">
        <f aca="false">SUMIF('DIA_Chi Phí'!$I$26:$I$41,"Bán hàng &amp; QLDN",'DIA_Chi Phí'!$E$26:$E$41)</f>
        <v>834000000</v>
      </c>
      <c r="D39" s="160" t="n">
        <f aca="false">SUMIF('DIA_Chi Phí'!$I$26:$I$41,"Bán hàng &amp; QLDN",'DIA_Chi Phí'!$G$26:$G$41)</f>
        <v>1104000000</v>
      </c>
      <c r="E39" s="168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</row>
    <row r="40" customFormat="false" ht="33.75" hidden="false" customHeight="true" outlineLevel="0" collapsed="false">
      <c r="A40" s="169" t="s">
        <v>551</v>
      </c>
      <c r="B40" s="172" t="n">
        <f aca="false">B34-SUM(B36:B39)</f>
        <v>-1201647250</v>
      </c>
      <c r="C40" s="172" t="n">
        <f aca="false">C34-SUM(C36:C39)</f>
        <v>-1242171415.34</v>
      </c>
      <c r="D40" s="172" t="n">
        <f aca="false">D34-SUM(D36:D39)</f>
        <v>-758072954.86184</v>
      </c>
      <c r="E40" s="171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</row>
    <row r="41" customFormat="false" ht="18" hidden="false" customHeight="true" outlineLevel="0" collapsed="false">
      <c r="A41" s="159" t="s">
        <v>595</v>
      </c>
      <c r="B41" s="162" t="n">
        <f aca="false">IFERROR(B40/B29,0)</f>
        <v>-1.20835361254965</v>
      </c>
      <c r="C41" s="162" t="n">
        <f aca="false">IFERROR(C40/C29,0)</f>
        <v>-0.615159602701473</v>
      </c>
      <c r="D41" s="162" t="n">
        <f aca="false">IFERROR(D40/D29,0)</f>
        <v>-0.186663450365191</v>
      </c>
      <c r="E41" s="168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</row>
    <row r="42" customFormat="false" ht="18" hidden="false" customHeight="true" outlineLevel="0" collapsed="false">
      <c r="A42" s="159" t="s">
        <v>596</v>
      </c>
      <c r="B42" s="160" t="n">
        <f aca="false">B6/'DIA_Giả Định'!$N$65+B7/'DIA_Giả Định'!$N$64</f>
        <v>489400000</v>
      </c>
      <c r="C42" s="160" t="n">
        <f aca="false">IF(2&lt;='DIA_Giả Định'!$N$65,B6/'DIA_Giả Định'!$N$65,0)+IF(2&lt;='DIA_Giả Định'!$N$64,B7/'DIA_Giả Định'!$N$64,0)</f>
        <v>34950000</v>
      </c>
      <c r="D42" s="160" t="n">
        <f aca="false">IF(3&lt;='DIA_Giả Định'!$N$65,B6/'DIA_Giả Định'!$N$65,0)+IF(3&lt;='DIA_Giả Định'!$N$64,B7/'DIA_Giả Định'!$N$64,0)</f>
        <v>34950000</v>
      </c>
      <c r="E42" s="168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</row>
    <row r="43" customFormat="false" ht="33.75" hidden="false" customHeight="true" outlineLevel="0" collapsed="false">
      <c r="A43" s="159" t="s">
        <v>553</v>
      </c>
      <c r="B43" s="160" t="n">
        <f aca="false">B40-B42</f>
        <v>-1691047250</v>
      </c>
      <c r="C43" s="160" t="n">
        <f aca="false">C40-C42</f>
        <v>-1277121415.34</v>
      </c>
      <c r="D43" s="160" t="n">
        <f aca="false">D40-D42</f>
        <v>-793022954.86184</v>
      </c>
      <c r="E43" s="168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</row>
    <row r="44" customFormat="false" ht="18" hidden="false" customHeight="true" outlineLevel="0" collapsed="false">
      <c r="A44" s="159" t="s">
        <v>597</v>
      </c>
      <c r="B44" s="160" t="n">
        <f aca="false">B22</f>
        <v>0</v>
      </c>
      <c r="C44" s="160" t="n">
        <f aca="false">C22</f>
        <v>0</v>
      </c>
      <c r="D44" s="160" t="n">
        <f aca="false">D22</f>
        <v>0</v>
      </c>
      <c r="E44" s="168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</row>
    <row r="45" customFormat="false" ht="33.75" hidden="false" customHeight="true" outlineLevel="0" collapsed="false">
      <c r="A45" s="159" t="s">
        <v>598</v>
      </c>
      <c r="B45" s="160" t="n">
        <f aca="false">B43-B44</f>
        <v>-1691047250</v>
      </c>
      <c r="C45" s="160" t="n">
        <f aca="false">C43-C44</f>
        <v>-1277121415.34</v>
      </c>
      <c r="D45" s="160" t="n">
        <f aca="false">D43-D44</f>
        <v>-793022954.86184</v>
      </c>
      <c r="E45" s="168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</row>
    <row r="46" customFormat="false" ht="18" hidden="false" customHeight="true" outlineLevel="0" collapsed="false">
      <c r="A46" s="159" t="s">
        <v>554</v>
      </c>
      <c r="B46" s="160" t="n">
        <f aca="false">MAX(0,B45*'DIA_Giả Định'!$N$59)</f>
        <v>0</v>
      </c>
      <c r="C46" s="160" t="n">
        <f aca="false">MAX(0,C45*'DIA_Giả Định'!$O$59)</f>
        <v>0</v>
      </c>
      <c r="D46" s="160" t="n">
        <f aca="false">MAX(0,D45*'DIA_Giả Định'!$P$59)</f>
        <v>0</v>
      </c>
      <c r="E46" s="168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</row>
    <row r="47" customFormat="false" ht="33.75" hidden="false" customHeight="true" outlineLevel="0" collapsed="false">
      <c r="A47" s="169" t="s">
        <v>555</v>
      </c>
      <c r="B47" s="172" t="n">
        <f aca="false">B45-B46</f>
        <v>-1691047250</v>
      </c>
      <c r="C47" s="172" t="n">
        <f aca="false">C45-C46</f>
        <v>-1277121415.34</v>
      </c>
      <c r="D47" s="172" t="n">
        <f aca="false">D45-D46</f>
        <v>-793022954.86184</v>
      </c>
      <c r="E47" s="171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</row>
    <row r="48" customFormat="false" ht="18" hidden="false" customHeight="true" outlineLevel="0" collapsed="false">
      <c r="A48" s="159" t="s">
        <v>599</v>
      </c>
      <c r="B48" s="162" t="n">
        <f aca="false">IFERROR(B47/B29,0)</f>
        <v>-1.70048494142491</v>
      </c>
      <c r="C48" s="162" t="n">
        <f aca="false">IFERROR(C47/C29,0)</f>
        <v>-0.63246786454755</v>
      </c>
      <c r="D48" s="162" t="n">
        <f aca="false">IFERROR(D47/D29,0)</f>
        <v>-0.195269333939355</v>
      </c>
      <c r="E48" s="168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</row>
    <row r="49" customFormat="false" ht="13.5" hidden="false" customHeight="true" outlineLevel="0" collapsed="false">
      <c r="A49" s="155"/>
      <c r="B49" s="164"/>
      <c r="C49" s="164"/>
      <c r="D49" s="164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</row>
    <row r="50" customFormat="false" ht="13.5" hidden="false" customHeight="true" outlineLevel="0" collapsed="false">
      <c r="A50" s="155"/>
      <c r="B50" s="164"/>
      <c r="C50" s="164"/>
      <c r="D50" s="164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</row>
    <row r="51" customFormat="false" ht="18" hidden="false" customHeight="true" outlineLevel="0" collapsed="false">
      <c r="A51" s="173" t="s">
        <v>600</v>
      </c>
      <c r="B51" s="173"/>
      <c r="C51" s="173"/>
      <c r="D51" s="173"/>
      <c r="E51" s="173"/>
      <c r="F51" s="167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</row>
    <row r="52" customFormat="false" ht="18" hidden="false" customHeight="true" outlineLevel="0" collapsed="false">
      <c r="A52" s="158" t="s">
        <v>522</v>
      </c>
      <c r="B52" s="158" t="s">
        <v>601</v>
      </c>
      <c r="C52" s="158" t="s">
        <v>468</v>
      </c>
      <c r="D52" s="158" t="s">
        <v>470</v>
      </c>
      <c r="E52" s="158" t="s">
        <v>472</v>
      </c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55"/>
      <c r="Z52" s="155"/>
    </row>
    <row r="53" customFormat="false" ht="33.75" hidden="false" customHeight="true" outlineLevel="0" collapsed="false">
      <c r="A53" s="159" t="s">
        <v>602</v>
      </c>
      <c r="B53" s="160" t="n">
        <f aca="false">-B5</f>
        <v>-1755250000</v>
      </c>
      <c r="C53" s="160" t="n">
        <v>0</v>
      </c>
      <c r="D53" s="160" t="n">
        <v>0</v>
      </c>
      <c r="E53" s="174" t="n">
        <v>0</v>
      </c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</row>
    <row r="54" customFormat="false" ht="33.75" hidden="false" customHeight="true" outlineLevel="0" collapsed="false">
      <c r="A54" s="159" t="s">
        <v>603</v>
      </c>
      <c r="B54" s="160" t="n">
        <v>0</v>
      </c>
      <c r="C54" s="160" t="n">
        <f aca="false">B47+B42</f>
        <v>-1201647250</v>
      </c>
      <c r="D54" s="160" t="n">
        <f aca="false">C47+C42</f>
        <v>-1242171415.34</v>
      </c>
      <c r="E54" s="174" t="n">
        <f aca="false">D47+D42</f>
        <v>-758072954.86184</v>
      </c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</row>
    <row r="55" customFormat="false" ht="18" hidden="false" customHeight="true" outlineLevel="0" collapsed="false">
      <c r="A55" s="159" t="s">
        <v>604</v>
      </c>
      <c r="B55" s="160" t="n">
        <f aca="false">B9</f>
        <v>0</v>
      </c>
      <c r="C55" s="160" t="n">
        <v>0</v>
      </c>
      <c r="D55" s="160" t="n">
        <v>0</v>
      </c>
      <c r="E55" s="174" t="n">
        <v>0</v>
      </c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</row>
    <row r="56" customFormat="false" ht="18" hidden="false" customHeight="true" outlineLevel="0" collapsed="false">
      <c r="A56" s="159" t="s">
        <v>605</v>
      </c>
      <c r="B56" s="160" t="n">
        <f aca="false">B10</f>
        <v>1755250000</v>
      </c>
      <c r="C56" s="160" t="n">
        <v>0</v>
      </c>
      <c r="D56" s="160" t="n">
        <v>0</v>
      </c>
      <c r="E56" s="174" t="n">
        <v>0</v>
      </c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</row>
    <row r="57" customFormat="false" ht="18" hidden="false" customHeight="true" outlineLevel="0" collapsed="false">
      <c r="A57" s="159" t="s">
        <v>606</v>
      </c>
      <c r="B57" s="160" t="n">
        <v>0</v>
      </c>
      <c r="C57" s="160" t="n">
        <f aca="false">-B23</f>
        <v>-0</v>
      </c>
      <c r="D57" s="160" t="n">
        <f aca="false">-C23</f>
        <v>-0</v>
      </c>
      <c r="E57" s="174" t="n">
        <f aca="false">-D23</f>
        <v>-0</v>
      </c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</row>
    <row r="58" customFormat="false" ht="18" hidden="false" customHeight="true" outlineLevel="0" collapsed="false">
      <c r="A58" s="159" t="s">
        <v>279</v>
      </c>
      <c r="B58" s="160" t="n">
        <v>0</v>
      </c>
      <c r="C58" s="160" t="n">
        <f aca="false">-'DIA_Giả Định'!$N$73</f>
        <v>-0</v>
      </c>
      <c r="D58" s="160" t="n">
        <f aca="false">-'DIA_Giả Định'!$O$73</f>
        <v>-100000000</v>
      </c>
      <c r="E58" s="174" t="n">
        <f aca="false">-'DIA_Giả Định'!$P$73</f>
        <v>-150000000</v>
      </c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</row>
    <row r="59" customFormat="false" ht="18" hidden="false" customHeight="true" outlineLevel="0" collapsed="false">
      <c r="A59" s="159" t="s">
        <v>556</v>
      </c>
      <c r="B59" s="160" t="n">
        <v>0</v>
      </c>
      <c r="C59" s="160" t="n">
        <f aca="false">-MAX(0,('DIA_Chi Phí'!$C$42/'DIA_Giả Định'!$N$5*'DIA_Giả Định'!$N$67)-B8)</f>
        <v>-0</v>
      </c>
      <c r="D59" s="160" t="n">
        <f aca="false">-MAX(0,('DIA_Chi Phí'!$E$42/'DIA_Giả Định'!$O$5*'DIA_Giả Định'!$O$67)-('DIA_Chi Phí'!$C$42/'DIA_Giả Định'!$N$5*'DIA_Giả Định'!$N$67))</f>
        <v>-99000000</v>
      </c>
      <c r="E59" s="174" t="n">
        <f aca="false">-MAX(0,('DIA_Chi Phí'!$G$42/'DIA_Giả Định'!$P$5*'DIA_Giả Định'!$P$67)-('DIA_Chi Phí'!$E$42/'DIA_Giả Định'!$O$5*'DIA_Giả Định'!$O$67))</f>
        <v>-101000000</v>
      </c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</row>
    <row r="60" customFormat="false" ht="33.75" hidden="false" customHeight="true" outlineLevel="0" collapsed="false">
      <c r="A60" s="169" t="s">
        <v>607</v>
      </c>
      <c r="B60" s="172" t="n">
        <f aca="false">SUM(B53:B56)</f>
        <v>0</v>
      </c>
      <c r="C60" s="172" t="n">
        <f aca="false">SUM(C53:C59)</f>
        <v>-1201647250</v>
      </c>
      <c r="D60" s="172" t="n">
        <f aca="false">SUM(D53:D59)</f>
        <v>-1441171415.34</v>
      </c>
      <c r="E60" s="175" t="n">
        <f aca="false">SUM(E53:E59)</f>
        <v>-1009072954.86184</v>
      </c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</row>
    <row r="61" customFormat="false" ht="33.75" hidden="false" customHeight="true" outlineLevel="0" collapsed="false">
      <c r="A61" s="169" t="s">
        <v>608</v>
      </c>
      <c r="B61" s="172" t="n">
        <f aca="false">B60</f>
        <v>0</v>
      </c>
      <c r="C61" s="172" t="n">
        <f aca="false">B61+C60</f>
        <v>-1201647250</v>
      </c>
      <c r="D61" s="172" t="n">
        <f aca="false">C61+D60</f>
        <v>-2642818665.34</v>
      </c>
      <c r="E61" s="175" t="n">
        <f aca="false">D61+E60</f>
        <v>-3651891620.20184</v>
      </c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</row>
    <row r="62" customFormat="false" ht="33.75" hidden="false" customHeight="true" outlineLevel="0" collapsed="false">
      <c r="A62" s="169" t="s">
        <v>609</v>
      </c>
      <c r="B62" s="172" t="n">
        <f aca="false">-B5</f>
        <v>-1755250000</v>
      </c>
      <c r="C62" s="172" t="n">
        <f aca="false">B43*(1-'DIA_Giả Định'!$N$59)+B42+C58+C59</f>
        <v>-863437800</v>
      </c>
      <c r="D62" s="172" t="n">
        <f aca="false">C43*(1-'DIA_Giả Định'!$O$59)+C42+D58+D59</f>
        <v>-1185747132.272</v>
      </c>
      <c r="E62" s="175" t="n">
        <f aca="false">D43*(1-'DIA_Giả Định'!$P$59)+D42+E58+E59</f>
        <v>-850468363.889472</v>
      </c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</row>
    <row r="63" customFormat="false" ht="33.75" hidden="false" customHeight="true" outlineLevel="0" collapsed="false">
      <c r="A63" s="159" t="s">
        <v>558</v>
      </c>
      <c r="B63" s="160" t="n">
        <f aca="false">B62</f>
        <v>-1755250000</v>
      </c>
      <c r="C63" s="160" t="n">
        <f aca="false">C62/POWER(1+'DIA_Giả Định'!$N$60,1)</f>
        <v>-731726949.152542</v>
      </c>
      <c r="D63" s="160" t="n">
        <f aca="false">D62/POWER(1+'DIA_Giả Định'!$N$60,2)</f>
        <v>-851585128.032175</v>
      </c>
      <c r="E63" s="174" t="n">
        <f aca="false">E62/POWER(1+'DIA_Giả Định'!$N$60,3)</f>
        <v>-517621302.500178</v>
      </c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</row>
    <row r="64" customFormat="false" ht="33.75" hidden="false" customHeight="true" outlineLevel="0" collapsed="false">
      <c r="A64" s="159" t="s">
        <v>559</v>
      </c>
      <c r="B64" s="160" t="n">
        <f aca="false">B62</f>
        <v>-1755250000</v>
      </c>
      <c r="C64" s="160" t="n">
        <f aca="false">B64+C62</f>
        <v>-2618687800</v>
      </c>
      <c r="D64" s="160" t="n">
        <f aca="false">C64+D62</f>
        <v>-3804434932.272</v>
      </c>
      <c r="E64" s="174" t="n">
        <f aca="false">D64+E62</f>
        <v>-4654903296.16147</v>
      </c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</row>
    <row r="65" customFormat="false" ht="33.75" hidden="false" customHeight="true" outlineLevel="0" collapsed="false">
      <c r="A65" s="159" t="s">
        <v>560</v>
      </c>
      <c r="B65" s="160" t="n">
        <f aca="false">B63</f>
        <v>-1755250000</v>
      </c>
      <c r="C65" s="160" t="n">
        <f aca="false">B65+C63</f>
        <v>-2486976949.15254</v>
      </c>
      <c r="D65" s="160" t="n">
        <f aca="false">C65+D63</f>
        <v>-3338562077.18472</v>
      </c>
      <c r="E65" s="174" t="n">
        <f aca="false">D65+E63</f>
        <v>-3856183379.6849</v>
      </c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</row>
    <row r="66" customFormat="false" ht="18" hidden="false" customHeight="true" outlineLevel="0" collapsed="false">
      <c r="A66" s="155"/>
      <c r="B66" s="164"/>
      <c r="C66" s="164"/>
      <c r="D66" s="164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</row>
    <row r="67" customFormat="false" ht="18" hidden="false" customHeight="true" outlineLevel="0" collapsed="false">
      <c r="A67" s="156" t="s">
        <v>610</v>
      </c>
      <c r="B67" s="156"/>
      <c r="C67" s="156"/>
      <c r="D67" s="156"/>
      <c r="E67" s="156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</row>
    <row r="68" customFormat="false" ht="18" hidden="false" customHeight="true" outlineLevel="0" collapsed="false">
      <c r="A68" s="166" t="s">
        <v>611</v>
      </c>
      <c r="B68" s="166"/>
      <c r="C68" s="166"/>
      <c r="D68" s="166"/>
      <c r="E68" s="166"/>
      <c r="F68" s="167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</row>
    <row r="69" customFormat="false" ht="18" hidden="false" customHeight="true" outlineLevel="0" collapsed="false">
      <c r="A69" s="158" t="s">
        <v>522</v>
      </c>
      <c r="B69" s="158" t="s">
        <v>572</v>
      </c>
      <c r="C69" s="158" t="s">
        <v>612</v>
      </c>
      <c r="D69" s="158" t="s">
        <v>613</v>
      </c>
      <c r="E69" s="158" t="s">
        <v>614</v>
      </c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</row>
    <row r="70" customFormat="false" ht="50.25" hidden="false" customHeight="true" outlineLevel="0" collapsed="false">
      <c r="A70" s="176" t="s">
        <v>531</v>
      </c>
      <c r="B70" s="177" t="n">
        <f aca="false" t="array" ref="B70:B70">NPV('DIA_Giả Định'!$N$60,C62:E62)+B62</f>
        <v>-3856183379.6849</v>
      </c>
      <c r="C70" s="178" t="s">
        <v>615</v>
      </c>
      <c r="D70" s="179" t="s">
        <v>531</v>
      </c>
      <c r="E70" s="180" t="str">
        <f aca="false">IF(B70&gt;0,"CÓ — NPV&gt;0, dự án có hiệu quả tài chính","CHƯA — NPV≤0, cần điều chỉnh giả định")</f>
        <v>CHƯA — NPV≤0, cần điều chỉnh giả định</v>
      </c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</row>
    <row r="71" customFormat="false" ht="50.25" hidden="false" customHeight="true" outlineLevel="0" collapsed="false">
      <c r="A71" s="176" t="s">
        <v>532</v>
      </c>
      <c r="B71" s="181" t="n">
        <f aca="false">IF(E64&lt;0,0,IFERROR(IRR(B62:E62),0))</f>
        <v>0</v>
      </c>
      <c r="C71" s="178" t="s">
        <v>615</v>
      </c>
      <c r="D71" s="179" t="s">
        <v>532</v>
      </c>
      <c r="E71" s="180" t="str">
        <f aca="false">IF(B71&gt;B12,"CÓ — IRR&gt;r, dự án có hiệu quả tài chính","CHƯA — IRR≤r, cần điều chỉnh giả định")</f>
        <v>CHƯA — IRR≤r, cần điều chỉnh giả định</v>
      </c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</row>
    <row r="72" customFormat="false" ht="50.25" hidden="false" customHeight="true" outlineLevel="0" collapsed="false">
      <c r="A72" s="159" t="s">
        <v>616</v>
      </c>
      <c r="B72" s="182" t="str">
        <f aca="false">IF(E64&lt;0,"&gt;3 năm",IF(C64&gt;=0,IFERROR(ABS(B64)/C62,0),IF(D64&gt;=0,1+IFERROR(ABS(C64)/D62,0),2+IFERROR(ABS(D64)/E62,0))))</f>
        <v>&gt;3 năm</v>
      </c>
      <c r="C72" s="161" t="s">
        <v>615</v>
      </c>
      <c r="D72" s="183" t="s">
        <v>617</v>
      </c>
      <c r="E72" s="184" t="str">
        <f aca="false">IF(B72="&gt;3 năm","CHƯA — Chưa hoàn vốn trong 3 năm","CÓ — Hoàn vốn trong vòng đời dự án")</f>
        <v>CHƯA — Chưa hoàn vốn trong 3 năm</v>
      </c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</row>
    <row r="73" customFormat="false" ht="50.25" hidden="false" customHeight="true" outlineLevel="0" collapsed="false">
      <c r="A73" s="159" t="s">
        <v>618</v>
      </c>
      <c r="B73" s="161" t="str">
        <f aca="false">IF(E65&lt;0,"&gt;3 năm",IF(C65&gt;=0,IFERROR(ABS(B65)/C63,0),IF(D65&gt;=0,1+IFERROR(ABS(C65)/D63,0),2+IFERROR(ABS(D65)/E63,0))))</f>
        <v>&gt;3 năm</v>
      </c>
      <c r="C73" s="161" t="s">
        <v>615</v>
      </c>
      <c r="D73" s="183" t="s">
        <v>619</v>
      </c>
      <c r="E73" s="184" t="str">
        <f aca="false">IF(E65&lt;0,"CẢNH BÁO — Dòng tiền chiết khấu lũy kế còn âm","TỐT — Dòng tiền chiết khấu lũy kế dương")</f>
        <v>CẢNH BÁO — Dòng tiền chiết khấu lũy kế còn âm</v>
      </c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</row>
    <row r="74" customFormat="false" ht="50.25" hidden="false" customHeight="true" outlineLevel="0" collapsed="false">
      <c r="A74" s="159" t="s">
        <v>620</v>
      </c>
      <c r="B74" s="162" t="n">
        <f aca="false">IFERROR(SUM(B47:D47)/B5,0)</f>
        <v>-2.14282388275279</v>
      </c>
      <c r="C74" s="161" t="s">
        <v>615</v>
      </c>
      <c r="D74" s="185"/>
      <c r="E74" s="168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</row>
    <row r="75" customFormat="false" ht="50.25" hidden="false" customHeight="true" outlineLevel="0" collapsed="false">
      <c r="A75" s="159" t="s">
        <v>621</v>
      </c>
      <c r="B75" s="162" t="n">
        <f aca="false">D35</f>
        <v>0.513072447971873</v>
      </c>
      <c r="C75" s="161" t="s">
        <v>615</v>
      </c>
      <c r="D75" s="185"/>
      <c r="E75" s="168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</row>
    <row r="76" customFormat="false" ht="50.25" hidden="false" customHeight="true" outlineLevel="0" collapsed="false">
      <c r="A76" s="159" t="s">
        <v>595</v>
      </c>
      <c r="B76" s="162" t="n">
        <f aca="false">D41</f>
        <v>-0.186663450365191</v>
      </c>
      <c r="C76" s="161" t="s">
        <v>615</v>
      </c>
      <c r="D76" s="185"/>
      <c r="E76" s="168"/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</row>
    <row r="77" customFormat="false" ht="50.25" hidden="false" customHeight="true" outlineLevel="0" collapsed="false">
      <c r="A77" s="159" t="s">
        <v>622</v>
      </c>
      <c r="B77" s="162" t="n">
        <f aca="false">D48</f>
        <v>-0.195269333939355</v>
      </c>
      <c r="C77" s="161" t="s">
        <v>615</v>
      </c>
      <c r="D77" s="185"/>
      <c r="E77" s="168"/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</row>
    <row r="78" customFormat="false" ht="50.25" hidden="false" customHeight="true" outlineLevel="0" collapsed="false">
      <c r="A78" s="159" t="s">
        <v>623</v>
      </c>
      <c r="B78" s="160" t="n">
        <f aca="false">IFERROR(-SUMIF(C60:E60,"&lt;0",C60:E60)/(COUNTIF(C60:E60,"&lt;0")*'DIA_Giả Định'!$N$5),0)</f>
        <v>101441433.894496</v>
      </c>
      <c r="C78" s="161" t="s">
        <v>615</v>
      </c>
      <c r="D78" s="185"/>
      <c r="E78" s="168"/>
      <c r="F78" s="155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  <c r="T78" s="155"/>
      <c r="U78" s="155"/>
      <c r="V78" s="155"/>
      <c r="W78" s="155"/>
      <c r="X78" s="155"/>
      <c r="Y78" s="155"/>
      <c r="Z78" s="155"/>
    </row>
    <row r="79" customFormat="false" ht="50.25" hidden="false" customHeight="true" outlineLevel="0" collapsed="false">
      <c r="A79" s="159" t="s">
        <v>624</v>
      </c>
      <c r="B79" s="186" t="n">
        <f aca="false">IFERROR(B8/B78,0)</f>
        <v>2.95737144559703</v>
      </c>
      <c r="C79" s="161" t="s">
        <v>615</v>
      </c>
      <c r="D79" s="185"/>
      <c r="E79" s="168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</row>
    <row r="80" customFormat="false" ht="50.25" hidden="false" customHeight="true" outlineLevel="0" collapsed="false">
      <c r="A80" s="159" t="s">
        <v>625</v>
      </c>
      <c r="B80" s="160" t="n">
        <f aca="false">IFERROR(SUM(D36:D39)/(IFERROR((D29-D33)/D29,0)),0)</f>
        <v>5538691487.39749</v>
      </c>
      <c r="C80" s="161" t="s">
        <v>615</v>
      </c>
      <c r="D80" s="185"/>
      <c r="E80" s="168"/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  <c r="T80" s="155"/>
      <c r="U80" s="155"/>
      <c r="V80" s="155"/>
      <c r="W80" s="155"/>
      <c r="X80" s="155"/>
      <c r="Y80" s="155"/>
      <c r="Z80" s="155"/>
    </row>
    <row r="81" customFormat="false" ht="50.25" hidden="false" customHeight="true" outlineLevel="0" collapsed="false">
      <c r="A81" s="159" t="s">
        <v>626</v>
      </c>
      <c r="B81" s="187" t="n">
        <f aca="false">MAX(0,IFERROR((SUM(D36:D39)-(D31-'DIA_Chi Phí'!$F$54-'DIA_Chi Phí'!$F$56))/('DIA_Giá và Doanh Thu'!$H$21*'DIA_Giả Định'!$P$5-'DIA_Giả Định'!$P$23*'DIA_Giả Định'!$P$45*'DIA_Giả Định'!$P$5-('DIA_Giả Định'!$P$46+'DIA_Giả Định'!$P$47+'DIA_Giả Định'!$P$48)*'DIA_Giả Định'!$P$5-'DIA_Giá và Doanh Thu'!$H$21*'DIA_Giả Định'!$P$5*'DIA_Giả Định'!$P$49-'DIA_Giả Định'!$P$50*'DIA_Giả Định'!$P$5-'DIA_Giả Định'!$P$56*'DIA_Giả Định'!$P$57),0))</f>
        <v>4466.214714775</v>
      </c>
      <c r="C81" s="161" t="s">
        <v>615</v>
      </c>
      <c r="D81" s="185"/>
      <c r="E81" s="168"/>
      <c r="F81" s="155"/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5"/>
      <c r="Y81" s="155"/>
      <c r="Z81" s="155"/>
    </row>
    <row r="82" customFormat="false" ht="50.25" hidden="false" customHeight="true" outlineLevel="0" collapsed="false">
      <c r="A82" s="159" t="s">
        <v>627</v>
      </c>
      <c r="B82" s="187" t="n">
        <f aca="false">MAX(0,IFERROR((SUM(D36:D39)-(D30-'DIA_Chi Phí'!$F$50-'DIA_Chi Phí'!$F$52))/(IFERROR((D31-'DIA_Chi Phí'!$F$54-'DIA_Chi Phí'!$F$56)/('DIA_Giá và Doanh Thu'!$I$8+'DIA_Giá và Doanh Thu'!$I$7),0)),0))</f>
        <v>30.3505263116553</v>
      </c>
      <c r="C82" s="161" t="s">
        <v>615</v>
      </c>
      <c r="D82" s="185"/>
      <c r="E82" s="168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</row>
    <row r="83" customFormat="false" ht="18" hidden="false" customHeight="true" outlineLevel="0" collapsed="false">
      <c r="A83" s="155"/>
      <c r="B83" s="164"/>
      <c r="C83" s="164"/>
      <c r="D83" s="164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</row>
    <row r="84" customFormat="false" ht="18" hidden="false" customHeight="true" outlineLevel="0" collapsed="false">
      <c r="A84" s="155"/>
      <c r="B84" s="164"/>
      <c r="C84" s="164"/>
      <c r="D84" s="164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/>
      <c r="W84" s="155"/>
      <c r="X84" s="155"/>
      <c r="Y84" s="155"/>
      <c r="Z84" s="155"/>
    </row>
    <row r="85" customFormat="false" ht="18" hidden="false" customHeight="true" outlineLevel="0" collapsed="false">
      <c r="A85" s="166" t="s">
        <v>628</v>
      </c>
      <c r="B85" s="166"/>
      <c r="C85" s="166"/>
      <c r="D85" s="166"/>
      <c r="E85" s="166"/>
      <c r="F85" s="167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</row>
    <row r="86" customFormat="false" ht="18" hidden="false" customHeight="true" outlineLevel="0" collapsed="false">
      <c r="A86" s="158" t="s">
        <v>522</v>
      </c>
      <c r="B86" s="158" t="s">
        <v>468</v>
      </c>
      <c r="C86" s="158" t="s">
        <v>470</v>
      </c>
      <c r="D86" s="158" t="s">
        <v>472</v>
      </c>
      <c r="E86" s="158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</row>
    <row r="87" customFormat="false" ht="18" hidden="false" customHeight="true" outlineLevel="0" collapsed="false">
      <c r="A87" s="159" t="s">
        <v>629</v>
      </c>
      <c r="B87" s="160" t="n">
        <f aca="false">IFERROR('DIA_Chi Phí'!$C$30*'DIA_Giả Định'!$N$72/(('DIA_Giả Định'!$N$6*'DIA_Giả Định'!$N$8)),0)</f>
        <v>78750</v>
      </c>
      <c r="C87" s="160" t="n">
        <f aca="false">IFERROR('DIA_Chi Phí'!$E$30*'DIA_Giả Định'!$O$72/(MAX(0,('DIA_Giả Định'!$O$6*'DIA_Giả Định'!$O$8)-('DIA_Giả Định'!$N$6*'DIA_Giả Định'!$N$8)*POWER(1-'DIA_Giả Định'!$O$17,'DIA_Giả Định'!$O$5))),0)</f>
        <v>97739.3975284815</v>
      </c>
      <c r="D87" s="160" t="n">
        <f aca="false">IFERROR('DIA_Chi Phí'!$G$30*'DIA_Giả Định'!$P$72/(MAX(0,('DIA_Giả Định'!$P$6*'DIA_Giả Định'!$P$8)-('DIA_Giả Định'!$O$6*'DIA_Giả Định'!$O$8)*POWER(1-'DIA_Giả Định'!$P$17,'DIA_Giả Định'!$P$5))),0)</f>
        <v>73707.4922443869</v>
      </c>
      <c r="E87" s="168"/>
      <c r="F87" s="155"/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</row>
    <row r="88" customFormat="false" ht="18" hidden="false" customHeight="true" outlineLevel="0" collapsed="false">
      <c r="A88" s="159" t="s">
        <v>630</v>
      </c>
      <c r="B88" s="160" t="n">
        <f aca="false">IFERROR(('DIA_Chi Phí'!$C$29+'DIA_Chi Phí'!$C$30*(1-'DIA_Giả Định'!$N$72)+'DIA_Chi Phí'!$C$40)/'DIA_Giả Định'!$N$29,0)</f>
        <v>26571428.5714286</v>
      </c>
      <c r="C88" s="160" t="n">
        <f aca="false">IFERROR(('DIA_Chi Phí'!$E$29+'DIA_Chi Phí'!$E$30*(1-'DIA_Giả Định'!$O$72)+'DIA_Chi Phí'!$E$40)/'DIA_Giả Định'!$O$29,0)</f>
        <v>19846153.8461538</v>
      </c>
      <c r="D88" s="160" t="n">
        <f aca="false">IFERROR(('DIA_Chi Phí'!$G$29+'DIA_Chi Phí'!$G$30*(1-'DIA_Giả Định'!$P$72)+'DIA_Chi Phí'!$G$40)/'DIA_Giả Định'!$P$29,0)</f>
        <v>15120000</v>
      </c>
      <c r="E88" s="168"/>
      <c r="F88" s="155"/>
      <c r="G88" s="155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</row>
    <row r="89" customFormat="false" ht="18" hidden="false" customHeight="true" outlineLevel="0" collapsed="false">
      <c r="A89" s="159" t="s">
        <v>631</v>
      </c>
      <c r="B89" s="160" t="n">
        <f aca="false">'DIA_Giá và Doanh Thu'!$F$21*12*B35</f>
        <v>197956.619312183</v>
      </c>
      <c r="C89" s="160" t="n">
        <f aca="false">'DIA_Giá và Doanh Thu'!$G$21*12*C35</f>
        <v>240939.126323645</v>
      </c>
      <c r="D89" s="160" t="n">
        <f aca="false">'DIA_Giá và Doanh Thu'!$H$21*12*D35</f>
        <v>274900.972374423</v>
      </c>
      <c r="E89" s="168"/>
      <c r="F89" s="155"/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5"/>
      <c r="Y89" s="155"/>
      <c r="Z89" s="155"/>
    </row>
    <row r="90" customFormat="false" ht="18" hidden="false" customHeight="true" outlineLevel="0" collapsed="false">
      <c r="A90" s="159" t="s">
        <v>632</v>
      </c>
      <c r="B90" s="160" t="n">
        <f aca="false">'DIA_Giá và Doanh Thu'!$F$22*24*B35</f>
        <v>47360888.8269898</v>
      </c>
      <c r="C90" s="160" t="n">
        <f aca="false">'DIA_Giá và Doanh Thu'!$G$22*24*C35</f>
        <v>52192150.4967604</v>
      </c>
      <c r="D90" s="160" t="n">
        <f aca="false">'DIA_Giá và Doanh Thu'!$H$22*24*D35</f>
        <v>53291466.5264</v>
      </c>
      <c r="E90" s="168"/>
      <c r="F90" s="155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  <c r="Z90" s="155"/>
    </row>
    <row r="91" customFormat="false" ht="18" hidden="false" customHeight="true" outlineLevel="0" collapsed="false">
      <c r="A91" s="159" t="s">
        <v>633</v>
      </c>
      <c r="B91" s="188" t="n">
        <f aca="false">IFERROR(B89/B87,0)</f>
        <v>2.51373484840867</v>
      </c>
      <c r="C91" s="188" t="n">
        <f aca="false">IFERROR(C89/C87,0)</f>
        <v>2.46511777662057</v>
      </c>
      <c r="D91" s="188" t="n">
        <f aca="false">IFERROR(D89/D87,0)</f>
        <v>3.72962047688385</v>
      </c>
      <c r="E91" s="168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55"/>
      <c r="Z91" s="155"/>
    </row>
    <row r="92" customFormat="false" ht="18" hidden="false" customHeight="true" outlineLevel="0" collapsed="false">
      <c r="A92" s="159" t="s">
        <v>634</v>
      </c>
      <c r="B92" s="188" t="n">
        <f aca="false">IFERROR(B90/B88,0)</f>
        <v>1.78239904187596</v>
      </c>
      <c r="C92" s="188" t="n">
        <f aca="false">IFERROR(C90/C88,0)</f>
        <v>2.62983704053444</v>
      </c>
      <c r="D92" s="188" t="n">
        <f aca="false">IFERROR(D90/D88,0)</f>
        <v>3.52456789195767</v>
      </c>
      <c r="E92" s="168"/>
      <c r="F92" s="155"/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55"/>
      <c r="Z92" s="155"/>
    </row>
    <row r="93" customFormat="false" ht="33.75" hidden="false" customHeight="true" outlineLevel="0" collapsed="false">
      <c r="A93" s="159" t="s">
        <v>635</v>
      </c>
      <c r="B93" s="160" t="n">
        <f aca="false">('DIA_Giá và Doanh Thu'!$F$21*'DIA_Giả Định'!$N$5-'DIA_Giả Định'!$N$23*'DIA_Giả Định'!$N$45*'DIA_Giả Định'!$N$5-('DIA_Giả Định'!$N$46+'DIA_Giả Định'!$N$47+'DIA_Giả Định'!$N$48)*'DIA_Giả Định'!$N$5-'DIA_Giá và Doanh Thu'!$F$21*'DIA_Giả Định'!$N$5*'DIA_Giả Định'!$N$49-'DIA_Giả Định'!$N$50*'DIA_Giả Định'!$N$5-'DIA_Giả Định'!$N$56*'DIA_Giả Định'!$N$57)</f>
        <v>324717.5</v>
      </c>
      <c r="C93" s="160" t="n">
        <f aca="false">('DIA_Giá và Doanh Thu'!$G$21*'DIA_Giả Định'!$O$5-'DIA_Giả Định'!$O$23*'DIA_Giả Định'!$O$45*'DIA_Giả Định'!$O$5-('DIA_Giả Định'!$O$46+'DIA_Giả Định'!$O$47+'DIA_Giả Định'!$O$48)*'DIA_Giả Định'!$O$5-'DIA_Giá và Doanh Thu'!$G$21*'DIA_Giả Định'!$O$5*'DIA_Giả Định'!$O$49-'DIA_Giả Định'!$O$50*'DIA_Giả Định'!$O$5-'DIA_Giả Định'!$O$56*'DIA_Giả Định'!$O$57)</f>
        <v>351719.1215</v>
      </c>
      <c r="D93" s="160" t="n">
        <f aca="false">('DIA_Giá và Doanh Thu'!$H$21*'DIA_Giả Định'!$P$5-'DIA_Giả Định'!$P$23*'DIA_Giả Định'!$P$45*'DIA_Giả Định'!$P$5-('DIA_Giả Định'!$P$46+'DIA_Giả Định'!$P$47+'DIA_Giả Định'!$P$48)*'DIA_Giả Định'!$P$5-'DIA_Giá và Doanh Thu'!$H$21*'DIA_Giả Định'!$P$5*'DIA_Giả Định'!$P$49-'DIA_Giả Định'!$P$50*'DIA_Giả Định'!$P$5-'DIA_Giả Định'!$P$56*'DIA_Giả Định'!$P$57)</f>
        <v>384318.8330002</v>
      </c>
      <c r="E93" s="168"/>
      <c r="F93" s="155"/>
      <c r="G93" s="155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</row>
    <row r="94" customFormat="false" ht="18" hidden="false" customHeight="true" outlineLevel="0" collapsed="false">
      <c r="A94" s="159" t="s">
        <v>636</v>
      </c>
      <c r="B94" s="160" t="n">
        <f aca="false">IFERROR((B31-'DIA_Chi Phí'!$D$54-'DIA_Chi Phí'!$D$56)/('DIA_Giá và Doanh Thu'!$G$8+'DIA_Giá và Doanh Thu'!$G$7),0)</f>
        <v>33209000</v>
      </c>
      <c r="C94" s="160" t="n">
        <f aca="false">IFERROR((C31-'DIA_Chi Phí'!$E$54-'DIA_Chi Phí'!$E$56)/('DIA_Giá và Doanh Thu'!$H$8+'DIA_Giá và Doanh Thu'!$H$7),0)</f>
        <v>34362946.9777778</v>
      </c>
      <c r="D94" s="160" t="n">
        <f aca="false">IFERROR((D31-'DIA_Chi Phí'!$F$54-'DIA_Chi Phí'!$F$56)/('DIA_Giá và Doanh Thu'!$I$8+'DIA_Giá và Doanh Thu'!$I$7),0)</f>
        <v>34624602.2427492</v>
      </c>
      <c r="E94" s="168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55"/>
      <c r="Z94" s="155"/>
    </row>
    <row r="95" customFormat="false" ht="18" hidden="false" customHeight="true" outlineLevel="0" collapsed="false">
      <c r="A95" s="159" t="s">
        <v>637</v>
      </c>
      <c r="B95" s="186" t="n">
        <f aca="false">IFERROR(B87/(B93/'DIA_Giả Định'!$N$5),0)</f>
        <v>2.91022196216711</v>
      </c>
      <c r="C95" s="186" t="n">
        <f aca="false">IFERROR(C87/(C93/'DIA_Giả Định'!$O$5),0)</f>
        <v>3.33468582924849</v>
      </c>
      <c r="D95" s="186" t="n">
        <f aca="false">IFERROR(D87/(D93/'DIA_Giả Định'!$P$5),0)</f>
        <v>2.30144825333653</v>
      </c>
      <c r="E95" s="168"/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</row>
    <row r="96" customFormat="false" ht="18" hidden="false" customHeight="true" outlineLevel="0" collapsed="false">
      <c r="A96" s="159" t="s">
        <v>638</v>
      </c>
      <c r="B96" s="186" t="n">
        <f aca="false">IFERROR(B88/(B94/'DIA_Giả Định'!$N$5),0)</f>
        <v>9.6015279850987</v>
      </c>
      <c r="C96" s="186" t="n">
        <f aca="false">IFERROR(C88/(C94/'DIA_Giả Định'!$O$5),0)</f>
        <v>6.93054196742375</v>
      </c>
      <c r="D96" s="186" t="n">
        <f aca="false">IFERROR(D88/(D94/'DIA_Giả Định'!$P$5),0)</f>
        <v>5.24020460157042</v>
      </c>
      <c r="E96" s="168"/>
      <c r="F96" s="155"/>
      <c r="G96" s="155"/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55"/>
      <c r="Z96" s="155"/>
    </row>
    <row r="97" customFormat="false" ht="18" hidden="false" customHeight="true" outlineLevel="0" collapsed="false">
      <c r="A97" s="168"/>
      <c r="B97" s="168"/>
      <c r="C97" s="168"/>
      <c r="D97" s="168"/>
      <c r="E97" s="168"/>
      <c r="F97" s="155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</row>
    <row r="98" customFormat="false" ht="13.5" hidden="false" customHeight="true" outlineLevel="0" collapsed="false">
      <c r="A98" s="155"/>
      <c r="B98" s="155"/>
      <c r="C98" s="155"/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</row>
    <row r="99" customFormat="false" ht="13.5" hidden="false" customHeight="true" outlineLevel="0" collapsed="false">
      <c r="A99" s="155"/>
      <c r="B99" s="155"/>
      <c r="C99" s="155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</row>
    <row r="100" customFormat="false" ht="13.5" hidden="false" customHeight="true" outlineLevel="0" collapsed="false">
      <c r="A100" s="155"/>
      <c r="B100" s="155"/>
      <c r="C100" s="155"/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  <c r="Z100" s="155"/>
    </row>
    <row r="101" customFormat="false" ht="13.5" hidden="false" customHeight="true" outlineLevel="0" collapsed="false">
      <c r="A101" s="155"/>
      <c r="B101" s="155"/>
      <c r="C101" s="155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</row>
    <row r="102" customFormat="false" ht="13.5" hidden="false" customHeight="true" outlineLevel="0" collapsed="false">
      <c r="A102" s="155"/>
      <c r="B102" s="155"/>
      <c r="C102" s="155"/>
      <c r="D102" s="155"/>
      <c r="E102" s="155"/>
      <c r="F102" s="155"/>
      <c r="G102" s="155"/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/>
      <c r="Z102" s="155"/>
    </row>
    <row r="103" customFormat="false" ht="13.5" hidden="false" customHeight="true" outlineLevel="0" collapsed="false">
      <c r="A103" s="155"/>
      <c r="B103" s="155"/>
      <c r="C103" s="155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155"/>
      <c r="S103" s="155"/>
      <c r="T103" s="155"/>
      <c r="U103" s="155"/>
      <c r="V103" s="155"/>
      <c r="W103" s="155"/>
      <c r="X103" s="155"/>
      <c r="Y103" s="155"/>
      <c r="Z103" s="155"/>
    </row>
    <row r="104" customFormat="false" ht="13.5" hidden="false" customHeight="true" outlineLevel="0" collapsed="false">
      <c r="A104" s="155"/>
      <c r="B104" s="155"/>
      <c r="C104" s="155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  <c r="Z104" s="155"/>
    </row>
    <row r="105" customFormat="false" ht="13.5" hidden="false" customHeight="true" outlineLevel="0" collapsed="false">
      <c r="A105" s="155"/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</row>
    <row r="106" customFormat="false" ht="13.5" hidden="false" customHeight="true" outlineLevel="0" collapsed="false">
      <c r="A106" s="155"/>
      <c r="B106" s="155"/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</row>
    <row r="107" customFormat="false" ht="13.5" hidden="false" customHeight="true" outlineLevel="0" collapsed="false">
      <c r="A107" s="155"/>
      <c r="B107" s="155"/>
      <c r="C107" s="155"/>
      <c r="D107" s="155"/>
      <c r="E107" s="155"/>
      <c r="F107" s="155"/>
      <c r="G107" s="155"/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155"/>
      <c r="S107" s="155"/>
      <c r="T107" s="155"/>
      <c r="U107" s="155"/>
      <c r="V107" s="155"/>
      <c r="W107" s="155"/>
      <c r="X107" s="155"/>
      <c r="Y107" s="155"/>
      <c r="Z107" s="155"/>
    </row>
    <row r="108" customFormat="false" ht="13.5" hidden="false" customHeight="true" outlineLevel="0" collapsed="false">
      <c r="A108" s="155"/>
      <c r="B108" s="155"/>
      <c r="C108" s="155"/>
      <c r="D108" s="155"/>
      <c r="E108" s="155"/>
      <c r="F108" s="155"/>
      <c r="G108" s="155"/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W108" s="155"/>
      <c r="X108" s="155"/>
      <c r="Y108" s="155"/>
      <c r="Z108" s="155"/>
    </row>
    <row r="109" customFormat="false" ht="13.5" hidden="false" customHeight="true" outlineLevel="0" collapsed="false">
      <c r="A109" s="155"/>
      <c r="B109" s="155"/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</row>
    <row r="110" customFormat="false" ht="13.5" hidden="false" customHeight="true" outlineLevel="0" collapsed="false">
      <c r="A110" s="155"/>
      <c r="B110" s="155"/>
      <c r="C110" s="155"/>
      <c r="D110" s="155"/>
      <c r="E110" s="155"/>
      <c r="F110" s="155"/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</row>
    <row r="111" customFormat="false" ht="13.5" hidden="false" customHeight="true" outlineLevel="0" collapsed="false">
      <c r="A111" s="155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</row>
    <row r="112" customFormat="false" ht="13.5" hidden="false" customHeight="true" outlineLevel="0" collapsed="false">
      <c r="A112" s="155"/>
      <c r="B112" s="155"/>
      <c r="C112" s="155"/>
      <c r="D112" s="155"/>
      <c r="E112" s="155"/>
      <c r="F112" s="155"/>
      <c r="G112" s="155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</row>
    <row r="113" customFormat="false" ht="13.5" hidden="false" customHeight="true" outlineLevel="0" collapsed="false">
      <c r="A113" s="155"/>
      <c r="B113" s="155"/>
      <c r="C113" s="155"/>
      <c r="D113" s="155"/>
      <c r="E113" s="155"/>
      <c r="F113" s="155"/>
      <c r="G113" s="155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W113" s="155"/>
      <c r="X113" s="155"/>
      <c r="Y113" s="155"/>
      <c r="Z113" s="155"/>
    </row>
    <row r="114" customFormat="false" ht="13.5" hidden="false" customHeight="true" outlineLevel="0" collapsed="false">
      <c r="A114" s="155"/>
      <c r="B114" s="155"/>
      <c r="C114" s="155"/>
      <c r="D114" s="155"/>
      <c r="E114" s="155"/>
      <c r="F114" s="155"/>
      <c r="G114" s="155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W114" s="155"/>
      <c r="X114" s="155"/>
      <c r="Y114" s="155"/>
      <c r="Z114" s="155"/>
    </row>
    <row r="115" customFormat="false" ht="13.5" hidden="false" customHeight="true" outlineLevel="0" collapsed="false">
      <c r="A115" s="155"/>
      <c r="B115" s="155"/>
      <c r="C115" s="155"/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</row>
    <row r="116" customFormat="false" ht="13.5" hidden="false" customHeight="true" outlineLevel="0" collapsed="false">
      <c r="A116" s="155"/>
      <c r="B116" s="155"/>
      <c r="C116" s="155"/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</row>
    <row r="117" customFormat="false" ht="13.5" hidden="false" customHeight="true" outlineLevel="0" collapsed="false">
      <c r="A117" s="155"/>
      <c r="B117" s="155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</row>
    <row r="118" customFormat="false" ht="13.5" hidden="false" customHeight="true" outlineLevel="0" collapsed="false">
      <c r="A118" s="155"/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</row>
    <row r="119" customFormat="false" ht="13.5" hidden="false" customHeight="true" outlineLevel="0" collapsed="false">
      <c r="A119" s="155"/>
      <c r="B119" s="155"/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</row>
    <row r="120" customFormat="false" ht="13.5" hidden="false" customHeight="true" outlineLevel="0" collapsed="false">
      <c r="A120" s="155"/>
      <c r="B120" s="155"/>
      <c r="C120" s="155"/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</row>
    <row r="121" customFormat="false" ht="13.5" hidden="false" customHeight="true" outlineLevel="0" collapsed="false">
      <c r="A121" s="155"/>
      <c r="B121" s="155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</row>
    <row r="122" customFormat="false" ht="13.5" hidden="false" customHeight="true" outlineLevel="0" collapsed="false">
      <c r="A122" s="155"/>
      <c r="B122" s="155"/>
      <c r="C122" s="155"/>
      <c r="D122" s="155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</row>
    <row r="123" customFormat="false" ht="13.5" hidden="false" customHeight="true" outlineLevel="0" collapsed="false">
      <c r="A123" s="155"/>
      <c r="B123" s="155"/>
      <c r="C123" s="155"/>
      <c r="D123" s="155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</row>
    <row r="124" customFormat="false" ht="13.5" hidden="false" customHeight="true" outlineLevel="0" collapsed="false">
      <c r="A124" s="155"/>
      <c r="B124" s="155"/>
      <c r="C124" s="155"/>
      <c r="D124" s="155"/>
      <c r="E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</row>
    <row r="125" customFormat="false" ht="13.5" hidden="false" customHeight="true" outlineLevel="0" collapsed="false">
      <c r="A125" s="155"/>
      <c r="B125" s="155"/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</row>
    <row r="126" customFormat="false" ht="13.5" hidden="false" customHeight="true" outlineLevel="0" collapsed="false">
      <c r="A126" s="155"/>
      <c r="B126" s="155"/>
      <c r="C126" s="155"/>
      <c r="D126" s="155"/>
      <c r="E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</row>
    <row r="127" customFormat="false" ht="13.5" hidden="false" customHeight="true" outlineLevel="0" collapsed="false">
      <c r="A127" s="155"/>
      <c r="B127" s="155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</row>
    <row r="128" customFormat="false" ht="13.5" hidden="false" customHeight="true" outlineLevel="0" collapsed="false">
      <c r="A128" s="155"/>
      <c r="B128" s="155"/>
      <c r="C128" s="155"/>
      <c r="D128" s="155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</row>
    <row r="129" customFormat="false" ht="13.5" hidden="false" customHeight="true" outlineLevel="0" collapsed="false">
      <c r="A129" s="155"/>
      <c r="B129" s="155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</row>
    <row r="130" customFormat="false" ht="13.5" hidden="false" customHeight="true" outlineLevel="0" collapsed="false">
      <c r="A130" s="155"/>
      <c r="B130" s="155"/>
      <c r="C130" s="155"/>
      <c r="D130" s="155"/>
      <c r="E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</row>
    <row r="131" customFormat="false" ht="13.5" hidden="false" customHeight="true" outlineLevel="0" collapsed="false">
      <c r="A131" s="155"/>
      <c r="B131" s="155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</row>
    <row r="132" customFormat="false" ht="13.5" hidden="false" customHeight="true" outlineLevel="0" collapsed="false">
      <c r="A132" s="155"/>
      <c r="B132" s="155"/>
      <c r="C132" s="155"/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</row>
    <row r="133" customFormat="false" ht="13.5" hidden="false" customHeight="true" outlineLevel="0" collapsed="false">
      <c r="A133" s="155"/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</row>
    <row r="134" customFormat="false" ht="13.5" hidden="false" customHeight="true" outlineLevel="0" collapsed="false">
      <c r="A134" s="155"/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</row>
    <row r="135" customFormat="false" ht="13.5" hidden="false" customHeight="true" outlineLevel="0" collapsed="false">
      <c r="A135" s="155"/>
      <c r="B135" s="155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</row>
    <row r="136" customFormat="false" ht="13.5" hidden="false" customHeight="true" outlineLevel="0" collapsed="false">
      <c r="A136" s="155"/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</row>
    <row r="137" customFormat="false" ht="13.5" hidden="false" customHeight="true" outlineLevel="0" collapsed="false">
      <c r="A137" s="155"/>
      <c r="B137" s="155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</row>
    <row r="138" customFormat="false" ht="13.5" hidden="false" customHeight="true" outlineLevel="0" collapsed="false">
      <c r="A138" s="155"/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</row>
    <row r="139" customFormat="false" ht="13.5" hidden="false" customHeight="true" outlineLevel="0" collapsed="false">
      <c r="A139" s="155"/>
      <c r="B139" s="155"/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</row>
    <row r="140" customFormat="false" ht="13.5" hidden="false" customHeight="true" outlineLevel="0" collapsed="false">
      <c r="A140" s="155"/>
      <c r="B140" s="155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</row>
    <row r="141" customFormat="false" ht="13.5" hidden="false" customHeight="true" outlineLevel="0" collapsed="false">
      <c r="A141" s="155"/>
      <c r="B141" s="155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</row>
    <row r="142" customFormat="false" ht="13.5" hidden="false" customHeight="true" outlineLevel="0" collapsed="false">
      <c r="A142" s="155"/>
      <c r="B142" s="155"/>
      <c r="C142" s="15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</row>
    <row r="143" customFormat="false" ht="13.5" hidden="false" customHeight="true" outlineLevel="0" collapsed="false">
      <c r="A143" s="155"/>
      <c r="B143" s="155"/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</row>
    <row r="144" customFormat="false" ht="13.5" hidden="false" customHeight="true" outlineLevel="0" collapsed="false">
      <c r="A144" s="155"/>
      <c r="B144" s="155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</row>
    <row r="145" customFormat="false" ht="13.5" hidden="false" customHeight="true" outlineLevel="0" collapsed="false">
      <c r="A145" s="155"/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</row>
    <row r="146" customFormat="false" ht="13.5" hidden="false" customHeight="true" outlineLevel="0" collapsed="false">
      <c r="A146" s="155"/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</row>
    <row r="147" customFormat="false" ht="13.5" hidden="false" customHeight="true" outlineLevel="0" collapsed="false">
      <c r="A147" s="155"/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</row>
    <row r="148" customFormat="false" ht="13.5" hidden="false" customHeight="true" outlineLevel="0" collapsed="false">
      <c r="A148" s="155"/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</row>
    <row r="149" customFormat="false" ht="13.5" hidden="false" customHeight="true" outlineLevel="0" collapsed="false">
      <c r="A149" s="155"/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</row>
    <row r="150" customFormat="false" ht="13.5" hidden="false" customHeight="true" outlineLevel="0" collapsed="false">
      <c r="A150" s="155"/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</row>
    <row r="151" customFormat="false" ht="13.5" hidden="false" customHeight="true" outlineLevel="0" collapsed="false">
      <c r="A151" s="155"/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</row>
    <row r="152" customFormat="false" ht="13.5" hidden="false" customHeight="true" outlineLevel="0" collapsed="false">
      <c r="A152" s="155"/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</row>
    <row r="153" customFormat="false" ht="13.5" hidden="false" customHeight="true" outlineLevel="0" collapsed="false">
      <c r="A153" s="155"/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</row>
    <row r="154" customFormat="false" ht="13.5" hidden="false" customHeight="true" outlineLevel="0" collapsed="false">
      <c r="A154" s="155"/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</row>
    <row r="155" customFormat="false" ht="13.5" hidden="false" customHeight="true" outlineLevel="0" collapsed="false">
      <c r="A155" s="155"/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</row>
    <row r="156" customFormat="false" ht="13.5" hidden="false" customHeight="true" outlineLevel="0" collapsed="false">
      <c r="A156" s="155"/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</row>
    <row r="157" customFormat="false" ht="13.5" hidden="false" customHeight="true" outlineLevel="0" collapsed="false">
      <c r="A157" s="155"/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</row>
    <row r="158" customFormat="false" ht="13.5" hidden="false" customHeight="true" outlineLevel="0" collapsed="false">
      <c r="A158" s="155"/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</row>
    <row r="159" customFormat="false" ht="13.5" hidden="false" customHeight="true" outlineLevel="0" collapsed="false">
      <c r="A159" s="155"/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customFormat="false" ht="13.5" hidden="false" customHeight="true" outlineLevel="0" collapsed="false">
      <c r="A160" s="155"/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customFormat="false" ht="13.5" hidden="false" customHeight="true" outlineLevel="0" collapsed="false">
      <c r="A161" s="155"/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</row>
    <row r="162" customFormat="false" ht="13.5" hidden="false" customHeight="true" outlineLevel="0" collapsed="false">
      <c r="A162" s="155"/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</row>
    <row r="163" customFormat="false" ht="13.5" hidden="false" customHeight="true" outlineLevel="0" collapsed="false">
      <c r="A163" s="155"/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</row>
    <row r="164" customFormat="false" ht="13.5" hidden="false" customHeight="true" outlineLevel="0" collapsed="false">
      <c r="A164" s="155"/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</row>
    <row r="165" customFormat="false" ht="13.5" hidden="false" customHeight="true" outlineLevel="0" collapsed="false">
      <c r="A165" s="155"/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</row>
    <row r="166" customFormat="false" ht="13.5" hidden="false" customHeight="true" outlineLevel="0" collapsed="false">
      <c r="A166" s="155"/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</row>
    <row r="167" customFormat="false" ht="13.5" hidden="false" customHeight="true" outlineLevel="0" collapsed="false">
      <c r="A167" s="155"/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</row>
    <row r="168" customFormat="false" ht="13.5" hidden="false" customHeight="true" outlineLevel="0" collapsed="false">
      <c r="A168" s="155"/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</row>
    <row r="169" customFormat="false" ht="13.5" hidden="false" customHeight="true" outlineLevel="0" collapsed="false">
      <c r="A169" s="155"/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</row>
    <row r="170" customFormat="false" ht="13.5" hidden="false" customHeight="true" outlineLevel="0" collapsed="false">
      <c r="A170" s="155"/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</row>
    <row r="171" customFormat="false" ht="13.5" hidden="false" customHeight="true" outlineLevel="0" collapsed="false">
      <c r="A171" s="155"/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</row>
    <row r="172" customFormat="false" ht="13.5" hidden="false" customHeight="true" outlineLevel="0" collapsed="false">
      <c r="A172" s="155"/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</row>
    <row r="173" customFormat="false" ht="13.5" hidden="false" customHeight="true" outlineLevel="0" collapsed="false">
      <c r="A173" s="155"/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</row>
    <row r="174" customFormat="false" ht="13.5" hidden="false" customHeight="true" outlineLevel="0" collapsed="false">
      <c r="A174" s="155"/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</row>
    <row r="175" customFormat="false" ht="13.5" hidden="false" customHeight="true" outlineLevel="0" collapsed="false">
      <c r="A175" s="155"/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</row>
    <row r="176" customFormat="false" ht="13.5" hidden="false" customHeight="true" outlineLevel="0" collapsed="false">
      <c r="A176" s="155"/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</row>
    <row r="177" customFormat="false" ht="13.5" hidden="false" customHeight="true" outlineLevel="0" collapsed="false">
      <c r="A177" s="155"/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</row>
    <row r="178" customFormat="false" ht="13.5" hidden="false" customHeight="true" outlineLevel="0" collapsed="false">
      <c r="A178" s="155"/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</row>
    <row r="179" customFormat="false" ht="13.5" hidden="false" customHeight="true" outlineLevel="0" collapsed="false">
      <c r="A179" s="155"/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</row>
    <row r="180" customFormat="false" ht="13.5" hidden="false" customHeight="true" outlineLevel="0" collapsed="false">
      <c r="A180" s="155"/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</row>
    <row r="181" customFormat="false" ht="13.5" hidden="false" customHeight="true" outlineLevel="0" collapsed="false">
      <c r="A181" s="155"/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</row>
    <row r="182" customFormat="false" ht="13.5" hidden="false" customHeight="true" outlineLevel="0" collapsed="false">
      <c r="A182" s="155"/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</row>
    <row r="183" customFormat="false" ht="13.5" hidden="false" customHeight="true" outlineLevel="0" collapsed="false">
      <c r="A183" s="155"/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</row>
    <row r="184" customFormat="false" ht="13.5" hidden="false" customHeight="true" outlineLevel="0" collapsed="false">
      <c r="A184" s="155"/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</row>
    <row r="185" customFormat="false" ht="13.5" hidden="false" customHeight="true" outlineLevel="0" collapsed="false">
      <c r="A185" s="155"/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</row>
    <row r="186" customFormat="false" ht="13.5" hidden="false" customHeight="true" outlineLevel="0" collapsed="false">
      <c r="A186" s="155"/>
      <c r="B186" s="155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</row>
    <row r="187" customFormat="false" ht="13.5" hidden="false" customHeight="true" outlineLevel="0" collapsed="false">
      <c r="A187" s="155"/>
      <c r="B187" s="155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</row>
    <row r="188" customFormat="false" ht="13.5" hidden="false" customHeight="true" outlineLevel="0" collapsed="false">
      <c r="A188" s="155"/>
      <c r="B188" s="155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</row>
    <row r="189" customFormat="false" ht="13.5" hidden="false" customHeight="true" outlineLevel="0" collapsed="false">
      <c r="A189" s="155"/>
      <c r="B189" s="155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</row>
    <row r="190" customFormat="false" ht="13.5" hidden="false" customHeight="true" outlineLevel="0" collapsed="false">
      <c r="A190" s="155"/>
      <c r="B190" s="155"/>
      <c r="C190" s="15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</row>
    <row r="191" customFormat="false" ht="13.5" hidden="false" customHeight="true" outlineLevel="0" collapsed="false">
      <c r="A191" s="155"/>
      <c r="B191" s="155"/>
      <c r="C191" s="155"/>
      <c r="D191" s="155"/>
      <c r="E191" s="155"/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</row>
    <row r="192" customFormat="false" ht="13.5" hidden="false" customHeight="true" outlineLevel="0" collapsed="false">
      <c r="A192" s="155"/>
      <c r="B192" s="155"/>
      <c r="C192" s="155"/>
      <c r="D192" s="155"/>
      <c r="E192" s="155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</row>
    <row r="193" customFormat="false" ht="13.5" hidden="false" customHeight="true" outlineLevel="0" collapsed="false">
      <c r="A193" s="155"/>
      <c r="B193" s="155"/>
      <c r="C193" s="155"/>
      <c r="D193" s="155"/>
      <c r="E193" s="155"/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</row>
    <row r="194" customFormat="false" ht="13.5" hidden="false" customHeight="true" outlineLevel="0" collapsed="false">
      <c r="A194" s="155"/>
      <c r="B194" s="155"/>
      <c r="C194" s="155"/>
      <c r="D194" s="155"/>
      <c r="E194" s="155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</row>
    <row r="195" customFormat="false" ht="13.5" hidden="false" customHeight="true" outlineLevel="0" collapsed="false">
      <c r="A195" s="155"/>
      <c r="B195" s="155"/>
      <c r="C195" s="155"/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</row>
    <row r="196" customFormat="false" ht="13.5" hidden="false" customHeight="true" outlineLevel="0" collapsed="false">
      <c r="A196" s="155"/>
      <c r="B196" s="155"/>
      <c r="C196" s="155"/>
      <c r="D196" s="155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</row>
    <row r="197" customFormat="false" ht="13.5" hidden="false" customHeight="true" outlineLevel="0" collapsed="false">
      <c r="A197" s="155"/>
      <c r="B197" s="155"/>
      <c r="C197" s="155"/>
      <c r="D197" s="155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</row>
    <row r="198" customFormat="false" ht="13.5" hidden="false" customHeight="true" outlineLevel="0" collapsed="false">
      <c r="A198" s="155"/>
      <c r="B198" s="155"/>
      <c r="C198" s="155"/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</row>
    <row r="199" customFormat="false" ht="13.5" hidden="false" customHeight="true" outlineLevel="0" collapsed="false">
      <c r="A199" s="155"/>
      <c r="B199" s="155"/>
      <c r="C199" s="155"/>
      <c r="D199" s="155"/>
      <c r="E199" s="155"/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</row>
    <row r="200" customFormat="false" ht="13.5" hidden="false" customHeight="true" outlineLevel="0" collapsed="false">
      <c r="A200" s="155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</row>
    <row r="201" customFormat="false" ht="13.5" hidden="false" customHeight="true" outlineLevel="0" collapsed="false">
      <c r="A201" s="155"/>
      <c r="B201" s="155"/>
      <c r="C201" s="155"/>
      <c r="D201" s="155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</row>
    <row r="202" customFormat="false" ht="13.5" hidden="false" customHeight="true" outlineLevel="0" collapsed="false">
      <c r="A202" s="155"/>
      <c r="B202" s="155"/>
      <c r="C202" s="155"/>
      <c r="D202" s="155"/>
      <c r="E202" s="155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</row>
    <row r="203" customFormat="false" ht="13.5" hidden="false" customHeight="true" outlineLevel="0" collapsed="false">
      <c r="A203" s="155"/>
      <c r="B203" s="155"/>
      <c r="C203" s="155"/>
      <c r="D203" s="155"/>
      <c r="E203" s="155"/>
      <c r="F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</row>
    <row r="204" customFormat="false" ht="13.5" hidden="false" customHeight="true" outlineLevel="0" collapsed="false">
      <c r="A204" s="155"/>
      <c r="B204" s="155"/>
      <c r="C204" s="155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</row>
    <row r="205" customFormat="false" ht="13.5" hidden="false" customHeight="true" outlineLevel="0" collapsed="false">
      <c r="A205" s="155"/>
      <c r="B205" s="155"/>
      <c r="C205" s="155"/>
      <c r="D205" s="155"/>
      <c r="E205" s="155"/>
      <c r="F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</row>
    <row r="206" customFormat="false" ht="13.5" hidden="false" customHeight="true" outlineLevel="0" collapsed="false">
      <c r="A206" s="155"/>
      <c r="B206" s="155"/>
      <c r="C206" s="155"/>
      <c r="D206" s="155"/>
      <c r="E206" s="155"/>
      <c r="F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</row>
    <row r="207" customFormat="false" ht="13.5" hidden="false" customHeight="true" outlineLevel="0" collapsed="false">
      <c r="A207" s="155"/>
      <c r="B207" s="155"/>
      <c r="C207" s="155"/>
      <c r="D207" s="155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</row>
    <row r="208" customFormat="false" ht="13.5" hidden="false" customHeight="true" outlineLevel="0" collapsed="false">
      <c r="A208" s="155"/>
      <c r="B208" s="155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</row>
    <row r="209" customFormat="false" ht="13.5" hidden="false" customHeight="true" outlineLevel="0" collapsed="false">
      <c r="A209" s="155"/>
      <c r="B209" s="155"/>
      <c r="C209" s="155"/>
      <c r="D209" s="155"/>
      <c r="E209" s="155"/>
      <c r="F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</row>
    <row r="210" customFormat="false" ht="13.5" hidden="false" customHeight="true" outlineLevel="0" collapsed="false">
      <c r="A210" s="155"/>
      <c r="B210" s="155"/>
      <c r="C210" s="155"/>
      <c r="D210" s="155"/>
      <c r="E210" s="155"/>
      <c r="F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</row>
    <row r="211" customFormat="false" ht="13.5" hidden="false" customHeight="true" outlineLevel="0" collapsed="false">
      <c r="A211" s="155"/>
      <c r="B211" s="155"/>
      <c r="C211" s="155"/>
      <c r="D211" s="155"/>
      <c r="E211" s="155"/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</row>
    <row r="212" customFormat="false" ht="13.5" hidden="false" customHeight="true" outlineLevel="0" collapsed="false">
      <c r="A212" s="155"/>
      <c r="B212" s="155"/>
      <c r="C212" s="155"/>
      <c r="D212" s="155"/>
      <c r="E212" s="155"/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</row>
    <row r="213" customFormat="false" ht="13.5" hidden="false" customHeight="true" outlineLevel="0" collapsed="false">
      <c r="A213" s="155"/>
      <c r="B213" s="155"/>
      <c r="C213" s="155"/>
      <c r="D213" s="155"/>
      <c r="E213" s="155"/>
      <c r="F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</row>
    <row r="214" customFormat="false" ht="13.5" hidden="false" customHeight="true" outlineLevel="0" collapsed="false">
      <c r="A214" s="155"/>
      <c r="B214" s="155"/>
      <c r="C214" s="155"/>
      <c r="D214" s="155"/>
      <c r="E214" s="155"/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</row>
    <row r="215" customFormat="false" ht="13.5" hidden="false" customHeight="true" outlineLevel="0" collapsed="false">
      <c r="A215" s="155"/>
      <c r="B215" s="155"/>
      <c r="C215" s="155"/>
      <c r="D215" s="155"/>
      <c r="E215" s="155"/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</row>
    <row r="216" customFormat="false" ht="13.5" hidden="false" customHeight="true" outlineLevel="0" collapsed="false">
      <c r="A216" s="155"/>
      <c r="B216" s="155"/>
      <c r="C216" s="155"/>
      <c r="D216" s="155"/>
      <c r="E216" s="155"/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</row>
    <row r="217" customFormat="false" ht="13.5" hidden="false" customHeight="true" outlineLevel="0" collapsed="false">
      <c r="A217" s="155"/>
      <c r="B217" s="155"/>
      <c r="C217" s="155"/>
      <c r="D217" s="155"/>
      <c r="E217" s="155"/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</row>
    <row r="218" customFormat="false" ht="13.5" hidden="false" customHeight="true" outlineLevel="0" collapsed="false">
      <c r="A218" s="155"/>
      <c r="B218" s="155"/>
      <c r="C218" s="155"/>
      <c r="D218" s="155"/>
      <c r="E218" s="155"/>
      <c r="F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</row>
    <row r="219" customFormat="false" ht="13.5" hidden="false" customHeight="true" outlineLevel="0" collapsed="false">
      <c r="A219" s="155"/>
      <c r="B219" s="155"/>
      <c r="C219" s="155"/>
      <c r="D219" s="155"/>
      <c r="E219" s="155"/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</row>
    <row r="220" customFormat="false" ht="13.5" hidden="false" customHeight="true" outlineLevel="0" collapsed="false">
      <c r="A220" s="155"/>
      <c r="B220" s="155"/>
      <c r="C220" s="155"/>
      <c r="D220" s="155"/>
      <c r="E220" s="155"/>
      <c r="F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</row>
    <row r="221" customFormat="false" ht="13.5" hidden="false" customHeight="true" outlineLevel="0" collapsed="false">
      <c r="A221" s="155"/>
      <c r="B221" s="155"/>
      <c r="C221" s="155"/>
      <c r="D221" s="155"/>
      <c r="E221" s="155"/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</row>
    <row r="222" customFormat="false" ht="13.5" hidden="false" customHeight="true" outlineLevel="0" collapsed="false">
      <c r="A222" s="155"/>
      <c r="B222" s="155"/>
      <c r="C222" s="155"/>
      <c r="D222" s="155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</row>
    <row r="223" customFormat="false" ht="13.5" hidden="false" customHeight="true" outlineLevel="0" collapsed="false">
      <c r="A223" s="155"/>
      <c r="B223" s="155"/>
      <c r="C223" s="155"/>
      <c r="D223" s="155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</row>
    <row r="224" customFormat="false" ht="13.5" hidden="false" customHeight="true" outlineLevel="0" collapsed="false">
      <c r="A224" s="155"/>
      <c r="B224" s="155"/>
      <c r="C224" s="155"/>
      <c r="D224" s="155"/>
      <c r="E224" s="155"/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</row>
    <row r="225" customFormat="false" ht="13.5" hidden="false" customHeight="true" outlineLevel="0" collapsed="false">
      <c r="A225" s="155"/>
      <c r="B225" s="155"/>
      <c r="C225" s="155"/>
      <c r="D225" s="155"/>
      <c r="E225" s="155"/>
      <c r="F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</row>
    <row r="226" customFormat="false" ht="13.5" hidden="false" customHeight="true" outlineLevel="0" collapsed="false">
      <c r="A226" s="155"/>
      <c r="B226" s="155"/>
      <c r="C226" s="155"/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</row>
    <row r="227" customFormat="false" ht="13.5" hidden="false" customHeight="true" outlineLevel="0" collapsed="false">
      <c r="A227" s="155"/>
      <c r="B227" s="155"/>
      <c r="C227" s="155"/>
      <c r="D227" s="155"/>
      <c r="E227" s="155"/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</row>
    <row r="228" customFormat="false" ht="13.5" hidden="false" customHeight="true" outlineLevel="0" collapsed="false">
      <c r="A228" s="155"/>
      <c r="B228" s="155"/>
      <c r="C228" s="155"/>
      <c r="D228" s="155"/>
      <c r="E228" s="155"/>
      <c r="F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</row>
    <row r="229" customFormat="false" ht="13.5" hidden="false" customHeight="true" outlineLevel="0" collapsed="false">
      <c r="A229" s="155"/>
      <c r="B229" s="155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</row>
    <row r="230" customFormat="false" ht="13.5" hidden="false" customHeight="true" outlineLevel="0" collapsed="false">
      <c r="A230" s="155"/>
      <c r="B230" s="155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</row>
    <row r="231" customFormat="false" ht="13.5" hidden="false" customHeight="true" outlineLevel="0" collapsed="false">
      <c r="A231" s="155"/>
      <c r="B231" s="155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</row>
    <row r="232" customFormat="false" ht="13.5" hidden="false" customHeight="true" outlineLevel="0" collapsed="false">
      <c r="A232" s="155"/>
      <c r="B232" s="155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</row>
    <row r="233" customFormat="false" ht="13.5" hidden="false" customHeight="true" outlineLevel="0" collapsed="false">
      <c r="A233" s="155"/>
      <c r="B233" s="155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</row>
    <row r="234" customFormat="false" ht="13.5" hidden="false" customHeight="true" outlineLevel="0" collapsed="false">
      <c r="A234" s="155"/>
      <c r="B234" s="155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</row>
    <row r="235" customFormat="false" ht="13.5" hidden="false" customHeight="true" outlineLevel="0" collapsed="false">
      <c r="A235" s="155"/>
      <c r="B235" s="155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</row>
    <row r="236" customFormat="false" ht="13.5" hidden="false" customHeight="true" outlineLevel="0" collapsed="false">
      <c r="A236" s="155"/>
      <c r="B236" s="155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</row>
    <row r="237" customFormat="false" ht="13.5" hidden="false" customHeight="true" outlineLevel="0" collapsed="false">
      <c r="A237" s="155"/>
      <c r="B237" s="155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</row>
    <row r="238" customFormat="false" ht="13.5" hidden="false" customHeight="true" outlineLevel="0" collapsed="false">
      <c r="A238" s="155"/>
      <c r="B238" s="155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</row>
    <row r="239" customFormat="false" ht="13.5" hidden="false" customHeight="true" outlineLevel="0" collapsed="false">
      <c r="A239" s="155"/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</row>
    <row r="240" customFormat="false" ht="13.5" hidden="false" customHeight="true" outlineLevel="0" collapsed="false">
      <c r="A240" s="155"/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</row>
    <row r="241" customFormat="false" ht="13.5" hidden="false" customHeight="true" outlineLevel="0" collapsed="false">
      <c r="A241" s="155"/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</row>
    <row r="242" customFormat="false" ht="13.5" hidden="false" customHeight="true" outlineLevel="0" collapsed="false">
      <c r="A242" s="155"/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</row>
    <row r="243" customFormat="false" ht="13.5" hidden="false" customHeight="true" outlineLevel="0" collapsed="false">
      <c r="A243" s="155"/>
      <c r="B243" s="155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</row>
    <row r="244" customFormat="false" ht="13.5" hidden="false" customHeight="true" outlineLevel="0" collapsed="false">
      <c r="A244" s="155"/>
      <c r="B244" s="155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</row>
    <row r="245" customFormat="false" ht="13.5" hidden="false" customHeight="true" outlineLevel="0" collapsed="false">
      <c r="A245" s="155"/>
      <c r="B245" s="155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</row>
    <row r="246" customFormat="false" ht="13.5" hidden="false" customHeight="true" outlineLevel="0" collapsed="false">
      <c r="A246" s="155"/>
      <c r="B246" s="155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</row>
    <row r="247" customFormat="false" ht="13.5" hidden="false" customHeight="true" outlineLevel="0" collapsed="false">
      <c r="A247" s="155"/>
      <c r="B247" s="155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</row>
    <row r="248" customFormat="false" ht="13.5" hidden="false" customHeight="true" outlineLevel="0" collapsed="false">
      <c r="A248" s="155"/>
      <c r="B248" s="155"/>
      <c r="C248" s="155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</row>
    <row r="249" customFormat="false" ht="13.5" hidden="false" customHeight="true" outlineLevel="0" collapsed="false">
      <c r="A249" s="155"/>
      <c r="B249" s="155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</row>
    <row r="250" customFormat="false" ht="13.5" hidden="false" customHeight="true" outlineLevel="0" collapsed="false">
      <c r="A250" s="155"/>
      <c r="B250" s="155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</row>
    <row r="251" customFormat="false" ht="13.5" hidden="false" customHeight="true" outlineLevel="0" collapsed="false">
      <c r="A251" s="155"/>
      <c r="B251" s="155"/>
      <c r="C251" s="155"/>
      <c r="D251" s="155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</row>
    <row r="252" customFormat="false" ht="13.5" hidden="false" customHeight="true" outlineLevel="0" collapsed="false">
      <c r="A252" s="155"/>
      <c r="B252" s="155"/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</row>
    <row r="253" customFormat="false" ht="13.5" hidden="false" customHeight="true" outlineLevel="0" collapsed="false">
      <c r="A253" s="155"/>
      <c r="B253" s="155"/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</row>
    <row r="254" customFormat="false" ht="13.5" hidden="false" customHeight="true" outlineLevel="0" collapsed="false">
      <c r="A254" s="155"/>
      <c r="B254" s="155"/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</row>
    <row r="255" customFormat="false" ht="13.5" hidden="false" customHeight="true" outlineLevel="0" collapsed="false">
      <c r="A255" s="155"/>
      <c r="B255" s="155"/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</row>
    <row r="256" customFormat="false" ht="13.5" hidden="false" customHeight="true" outlineLevel="0" collapsed="false">
      <c r="A256" s="155"/>
      <c r="B256" s="155"/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</row>
    <row r="257" customFormat="false" ht="13.5" hidden="false" customHeight="true" outlineLevel="0" collapsed="false">
      <c r="A257" s="155"/>
      <c r="B257" s="155"/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</row>
    <row r="258" customFormat="false" ht="13.5" hidden="false" customHeight="true" outlineLevel="0" collapsed="false">
      <c r="A258" s="155"/>
      <c r="B258" s="155"/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</row>
    <row r="259" customFormat="false" ht="13.5" hidden="false" customHeight="true" outlineLevel="0" collapsed="false">
      <c r="A259" s="155"/>
      <c r="B259" s="155"/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</row>
    <row r="260" customFormat="false" ht="13.5" hidden="false" customHeight="true" outlineLevel="0" collapsed="false">
      <c r="A260" s="155"/>
      <c r="B260" s="155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</row>
    <row r="261" customFormat="false" ht="13.5" hidden="false" customHeight="true" outlineLevel="0" collapsed="false">
      <c r="A261" s="155"/>
      <c r="B261" s="155"/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</row>
    <row r="262" customFormat="false" ht="13.5" hidden="false" customHeight="true" outlineLevel="0" collapsed="false">
      <c r="A262" s="155"/>
      <c r="B262" s="155"/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</row>
    <row r="263" customFormat="false" ht="13.5" hidden="false" customHeight="true" outlineLevel="0" collapsed="false">
      <c r="A263" s="155"/>
      <c r="B263" s="155"/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</row>
    <row r="264" customFormat="false" ht="13.5" hidden="false" customHeight="true" outlineLevel="0" collapsed="false">
      <c r="A264" s="155"/>
      <c r="B264" s="155"/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</row>
    <row r="265" customFormat="false" ht="13.5" hidden="false" customHeight="true" outlineLevel="0" collapsed="false">
      <c r="A265" s="155"/>
      <c r="B265" s="155"/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</row>
    <row r="266" customFormat="false" ht="13.5" hidden="false" customHeight="true" outlineLevel="0" collapsed="false">
      <c r="A266" s="155"/>
      <c r="B266" s="155"/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</row>
    <row r="267" customFormat="false" ht="13.5" hidden="false" customHeight="true" outlineLevel="0" collapsed="false">
      <c r="A267" s="155"/>
      <c r="B267" s="155"/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</row>
    <row r="268" customFormat="false" ht="13.5" hidden="false" customHeight="true" outlineLevel="0" collapsed="false">
      <c r="A268" s="155"/>
      <c r="B268" s="155"/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</row>
    <row r="269" customFormat="false" ht="13.5" hidden="false" customHeight="true" outlineLevel="0" collapsed="false">
      <c r="A269" s="155"/>
      <c r="B269" s="155"/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</row>
    <row r="270" customFormat="false" ht="13.5" hidden="false" customHeight="true" outlineLevel="0" collapsed="false">
      <c r="A270" s="155"/>
      <c r="B270" s="155"/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</row>
    <row r="271" customFormat="false" ht="13.5" hidden="false" customHeight="true" outlineLevel="0" collapsed="false">
      <c r="A271" s="155"/>
      <c r="B271" s="155"/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</row>
    <row r="272" customFormat="false" ht="13.5" hidden="false" customHeight="true" outlineLevel="0" collapsed="false">
      <c r="A272" s="155"/>
      <c r="B272" s="155"/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</row>
    <row r="273" customFormat="false" ht="13.5" hidden="false" customHeight="true" outlineLevel="0" collapsed="false">
      <c r="A273" s="155"/>
      <c r="B273" s="155"/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</row>
    <row r="274" customFormat="false" ht="13.5" hidden="false" customHeight="true" outlineLevel="0" collapsed="false">
      <c r="A274" s="155"/>
      <c r="B274" s="155"/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</row>
    <row r="275" customFormat="false" ht="13.5" hidden="false" customHeight="true" outlineLevel="0" collapsed="false">
      <c r="A275" s="155"/>
      <c r="B275" s="155"/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</row>
    <row r="276" customFormat="false" ht="13.5" hidden="false" customHeight="true" outlineLevel="0" collapsed="false">
      <c r="A276" s="155"/>
      <c r="B276" s="155"/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</row>
    <row r="277" customFormat="false" ht="13.5" hidden="false" customHeight="true" outlineLevel="0" collapsed="false">
      <c r="A277" s="155"/>
      <c r="B277" s="155"/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</row>
    <row r="278" customFormat="false" ht="13.5" hidden="false" customHeight="true" outlineLevel="0" collapsed="false">
      <c r="A278" s="155"/>
      <c r="B278" s="155"/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</row>
    <row r="279" customFormat="false" ht="13.5" hidden="false" customHeight="true" outlineLevel="0" collapsed="false">
      <c r="A279" s="155"/>
      <c r="B279" s="155"/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</row>
    <row r="280" customFormat="false" ht="13.5" hidden="false" customHeight="true" outlineLevel="0" collapsed="false">
      <c r="A280" s="155"/>
      <c r="B280" s="155"/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</row>
    <row r="281" customFormat="false" ht="13.5" hidden="false" customHeight="true" outlineLevel="0" collapsed="false">
      <c r="A281" s="155"/>
      <c r="B281" s="155"/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</row>
    <row r="282" customFormat="false" ht="13.5" hidden="false" customHeight="true" outlineLevel="0" collapsed="false">
      <c r="A282" s="155"/>
      <c r="B282" s="155"/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</row>
    <row r="283" customFormat="false" ht="13.5" hidden="false" customHeight="true" outlineLevel="0" collapsed="false">
      <c r="A283" s="155"/>
      <c r="B283" s="155"/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</row>
    <row r="284" customFormat="false" ht="13.5" hidden="false" customHeight="true" outlineLevel="0" collapsed="false">
      <c r="A284" s="155"/>
      <c r="B284" s="155"/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</row>
    <row r="285" customFormat="false" ht="13.5" hidden="false" customHeight="true" outlineLevel="0" collapsed="false">
      <c r="A285" s="155"/>
      <c r="B285" s="155"/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</row>
    <row r="286" customFormat="false" ht="13.5" hidden="false" customHeight="true" outlineLevel="0" collapsed="false">
      <c r="A286" s="155"/>
      <c r="B286" s="155"/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</row>
    <row r="287" customFormat="false" ht="13.5" hidden="false" customHeight="true" outlineLevel="0" collapsed="false">
      <c r="A287" s="155"/>
      <c r="B287" s="155"/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</row>
    <row r="288" customFormat="false" ht="13.5" hidden="false" customHeight="true" outlineLevel="0" collapsed="false">
      <c r="A288" s="155"/>
      <c r="B288" s="155"/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</row>
    <row r="289" customFormat="false" ht="13.5" hidden="false" customHeight="true" outlineLevel="0" collapsed="false">
      <c r="A289" s="155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</row>
    <row r="290" customFormat="false" ht="13.5" hidden="false" customHeight="true" outlineLevel="0" collapsed="false">
      <c r="A290" s="155"/>
      <c r="B290" s="155"/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</row>
    <row r="291" customFormat="false" ht="13.5" hidden="false" customHeight="true" outlineLevel="0" collapsed="false">
      <c r="A291" s="155"/>
      <c r="B291" s="155"/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</row>
    <row r="292" customFormat="false" ht="13.5" hidden="false" customHeight="true" outlineLevel="0" collapsed="false">
      <c r="A292" s="155"/>
      <c r="B292" s="155"/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</row>
    <row r="293" customFormat="false" ht="13.5" hidden="false" customHeight="true" outlineLevel="0" collapsed="false">
      <c r="A293" s="155"/>
      <c r="B293" s="155"/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</row>
    <row r="294" customFormat="false" ht="13.5" hidden="false" customHeight="true" outlineLevel="0" collapsed="false">
      <c r="A294" s="155"/>
      <c r="B294" s="155"/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</row>
    <row r="295" customFormat="false" ht="13.5" hidden="false" customHeight="true" outlineLevel="0" collapsed="false">
      <c r="A295" s="155"/>
      <c r="B295" s="155"/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</row>
    <row r="296" customFormat="false" ht="13.5" hidden="false" customHeight="true" outlineLevel="0" collapsed="false">
      <c r="A296" s="155"/>
      <c r="B296" s="155"/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</row>
    <row r="297" customFormat="false" ht="13.5" hidden="false" customHeight="true" outlineLevel="0" collapsed="false">
      <c r="A297" s="155"/>
      <c r="B297" s="155"/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</row>
    <row r="298" customFormat="false" ht="13.5" hidden="false" customHeight="true" outlineLevel="0" collapsed="false">
      <c r="A298" s="155"/>
      <c r="B298" s="155"/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</row>
    <row r="299" customFormat="false" ht="13.5" hidden="false" customHeight="true" outlineLevel="0" collapsed="false">
      <c r="A299" s="155"/>
      <c r="B299" s="155"/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</row>
    <row r="300" customFormat="false" ht="13.5" hidden="false" customHeight="true" outlineLevel="0" collapsed="false">
      <c r="A300" s="155"/>
      <c r="B300" s="155"/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</row>
    <row r="301" customFormat="false" ht="13.5" hidden="false" customHeight="true" outlineLevel="0" collapsed="false">
      <c r="A301" s="155"/>
      <c r="B301" s="155"/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</row>
    <row r="302" customFormat="false" ht="13.5" hidden="false" customHeight="true" outlineLevel="0" collapsed="false">
      <c r="A302" s="155"/>
      <c r="B302" s="155"/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</row>
    <row r="303" customFormat="false" ht="13.5" hidden="false" customHeight="true" outlineLevel="0" collapsed="false">
      <c r="A303" s="155"/>
      <c r="B303" s="155"/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</row>
    <row r="304" customFormat="false" ht="13.5" hidden="false" customHeight="true" outlineLevel="0" collapsed="false">
      <c r="A304" s="155"/>
      <c r="B304" s="155"/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</row>
    <row r="305" customFormat="false" ht="13.5" hidden="false" customHeight="true" outlineLevel="0" collapsed="false">
      <c r="A305" s="155"/>
      <c r="B305" s="155"/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</row>
    <row r="306" customFormat="false" ht="13.5" hidden="false" customHeight="true" outlineLevel="0" collapsed="false">
      <c r="A306" s="155"/>
      <c r="B306" s="155"/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</row>
    <row r="307" customFormat="false" ht="13.5" hidden="false" customHeight="true" outlineLevel="0" collapsed="false">
      <c r="A307" s="155"/>
      <c r="B307" s="155"/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</row>
    <row r="308" customFormat="false" ht="13.5" hidden="false" customHeight="true" outlineLevel="0" collapsed="false">
      <c r="A308" s="155"/>
      <c r="B308" s="155"/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</row>
    <row r="309" customFormat="false" ht="13.5" hidden="false" customHeight="true" outlineLevel="0" collapsed="false">
      <c r="A309" s="155"/>
      <c r="B309" s="155"/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</row>
    <row r="310" customFormat="false" ht="13.5" hidden="false" customHeight="true" outlineLevel="0" collapsed="false">
      <c r="A310" s="155"/>
      <c r="B310" s="155"/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</row>
    <row r="311" customFormat="false" ht="13.5" hidden="false" customHeight="true" outlineLevel="0" collapsed="false">
      <c r="A311" s="155"/>
      <c r="B311" s="155"/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</row>
    <row r="312" customFormat="false" ht="13.5" hidden="false" customHeight="true" outlineLevel="0" collapsed="false">
      <c r="A312" s="155"/>
      <c r="B312" s="155"/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</row>
    <row r="313" customFormat="false" ht="13.5" hidden="false" customHeight="true" outlineLevel="0" collapsed="false">
      <c r="A313" s="155"/>
      <c r="B313" s="155"/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</row>
    <row r="314" customFormat="false" ht="13.5" hidden="false" customHeight="true" outlineLevel="0" collapsed="false">
      <c r="A314" s="155"/>
      <c r="B314" s="155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</row>
    <row r="315" customFormat="false" ht="13.5" hidden="false" customHeight="true" outlineLevel="0" collapsed="false">
      <c r="A315" s="155"/>
      <c r="B315" s="155"/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</row>
    <row r="316" customFormat="false" ht="13.5" hidden="false" customHeight="true" outlineLevel="0" collapsed="false">
      <c r="A316" s="155"/>
      <c r="B316" s="155"/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</row>
    <row r="317" customFormat="false" ht="13.5" hidden="false" customHeight="true" outlineLevel="0" collapsed="false">
      <c r="A317" s="155"/>
      <c r="B317" s="155"/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</row>
    <row r="318" customFormat="false" ht="13.5" hidden="false" customHeight="true" outlineLevel="0" collapsed="false">
      <c r="A318" s="155"/>
      <c r="B318" s="155"/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</row>
    <row r="319" customFormat="false" ht="13.5" hidden="false" customHeight="true" outlineLevel="0" collapsed="false">
      <c r="A319" s="155"/>
      <c r="B319" s="155"/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</row>
    <row r="320" customFormat="false" ht="13.5" hidden="false" customHeight="true" outlineLevel="0" collapsed="false">
      <c r="A320" s="155"/>
      <c r="B320" s="155"/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</row>
    <row r="321" customFormat="false" ht="13.5" hidden="false" customHeight="true" outlineLevel="0" collapsed="false">
      <c r="A321" s="155"/>
      <c r="B321" s="155"/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</row>
    <row r="322" customFormat="false" ht="13.5" hidden="false" customHeight="true" outlineLevel="0" collapsed="false">
      <c r="A322" s="155"/>
      <c r="B322" s="155"/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</row>
    <row r="323" customFormat="false" ht="13.5" hidden="false" customHeight="true" outlineLevel="0" collapsed="false">
      <c r="A323" s="155"/>
      <c r="B323" s="155"/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</row>
    <row r="324" customFormat="false" ht="13.5" hidden="false" customHeight="true" outlineLevel="0" collapsed="false">
      <c r="A324" s="155"/>
      <c r="B324" s="155"/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</row>
    <row r="325" customFormat="false" ht="13.5" hidden="false" customHeight="true" outlineLevel="0" collapsed="false">
      <c r="A325" s="155"/>
      <c r="B325" s="155"/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</row>
    <row r="326" customFormat="false" ht="13.5" hidden="false" customHeight="true" outlineLevel="0" collapsed="false">
      <c r="A326" s="155"/>
      <c r="B326" s="155"/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</row>
    <row r="327" customFormat="false" ht="13.5" hidden="false" customHeight="true" outlineLevel="0" collapsed="false">
      <c r="A327" s="155"/>
      <c r="B327" s="155"/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</row>
    <row r="328" customFormat="false" ht="13.5" hidden="false" customHeight="true" outlineLevel="0" collapsed="false">
      <c r="A328" s="155"/>
      <c r="B328" s="155"/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</row>
    <row r="329" customFormat="false" ht="13.5" hidden="false" customHeight="true" outlineLevel="0" collapsed="false">
      <c r="A329" s="155"/>
      <c r="B329" s="155"/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</row>
    <row r="330" customFormat="false" ht="13.5" hidden="false" customHeight="true" outlineLevel="0" collapsed="false">
      <c r="A330" s="155"/>
      <c r="B330" s="155"/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</row>
    <row r="331" customFormat="false" ht="13.5" hidden="false" customHeight="true" outlineLevel="0" collapsed="false">
      <c r="A331" s="155"/>
      <c r="B331" s="155"/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</row>
    <row r="332" customFormat="false" ht="13.5" hidden="false" customHeight="true" outlineLevel="0" collapsed="false">
      <c r="A332" s="155"/>
      <c r="B332" s="155"/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</row>
    <row r="333" customFormat="false" ht="13.5" hidden="false" customHeight="true" outlineLevel="0" collapsed="false">
      <c r="A333" s="155"/>
      <c r="B333" s="155"/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</row>
    <row r="334" customFormat="false" ht="13.5" hidden="false" customHeight="true" outlineLevel="0" collapsed="false">
      <c r="A334" s="155"/>
      <c r="B334" s="155"/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</row>
    <row r="335" customFormat="false" ht="13.5" hidden="false" customHeight="true" outlineLevel="0" collapsed="false">
      <c r="A335" s="155"/>
      <c r="B335" s="155"/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</row>
    <row r="336" customFormat="false" ht="13.5" hidden="false" customHeight="true" outlineLevel="0" collapsed="false">
      <c r="A336" s="155"/>
      <c r="B336" s="155"/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</row>
    <row r="337" customFormat="false" ht="13.5" hidden="false" customHeight="true" outlineLevel="0" collapsed="false">
      <c r="A337" s="155"/>
      <c r="B337" s="155"/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</row>
    <row r="338" customFormat="false" ht="13.5" hidden="false" customHeight="true" outlineLevel="0" collapsed="false">
      <c r="A338" s="155"/>
      <c r="B338" s="155"/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</row>
    <row r="339" customFormat="false" ht="13.5" hidden="false" customHeight="true" outlineLevel="0" collapsed="false">
      <c r="A339" s="155"/>
      <c r="B339" s="155"/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</row>
    <row r="340" customFormat="false" ht="13.5" hidden="false" customHeight="true" outlineLevel="0" collapsed="false">
      <c r="A340" s="155"/>
      <c r="B340" s="155"/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</row>
    <row r="341" customFormat="false" ht="13.5" hidden="false" customHeight="true" outlineLevel="0" collapsed="false">
      <c r="A341" s="155"/>
      <c r="B341" s="155"/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</row>
    <row r="342" customFormat="false" ht="13.5" hidden="false" customHeight="true" outlineLevel="0" collapsed="false">
      <c r="A342" s="155"/>
      <c r="B342" s="155"/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</row>
    <row r="343" customFormat="false" ht="13.5" hidden="false" customHeight="true" outlineLevel="0" collapsed="false">
      <c r="A343" s="155"/>
      <c r="B343" s="155"/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</row>
    <row r="344" customFormat="false" ht="13.5" hidden="false" customHeight="true" outlineLevel="0" collapsed="false">
      <c r="A344" s="155"/>
      <c r="B344" s="155"/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</row>
    <row r="345" customFormat="false" ht="13.5" hidden="false" customHeight="true" outlineLevel="0" collapsed="false">
      <c r="A345" s="155"/>
      <c r="B345" s="155"/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</row>
    <row r="346" customFormat="false" ht="13.5" hidden="false" customHeight="true" outlineLevel="0" collapsed="false">
      <c r="A346" s="155"/>
      <c r="B346" s="155"/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</row>
    <row r="347" customFormat="false" ht="13.5" hidden="false" customHeight="true" outlineLevel="0" collapsed="false">
      <c r="A347" s="155"/>
      <c r="B347" s="155"/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</row>
    <row r="348" customFormat="false" ht="13.5" hidden="false" customHeight="true" outlineLevel="0" collapsed="false">
      <c r="A348" s="155"/>
      <c r="B348" s="155"/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</row>
    <row r="349" customFormat="false" ht="13.5" hidden="false" customHeight="true" outlineLevel="0" collapsed="false">
      <c r="A349" s="155"/>
      <c r="B349" s="155"/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</row>
    <row r="350" customFormat="false" ht="13.5" hidden="false" customHeight="true" outlineLevel="0" collapsed="false">
      <c r="A350" s="155"/>
      <c r="B350" s="155"/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</row>
    <row r="351" customFormat="false" ht="13.5" hidden="false" customHeight="true" outlineLevel="0" collapsed="false">
      <c r="A351" s="155"/>
      <c r="B351" s="155"/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</row>
    <row r="352" customFormat="false" ht="13.5" hidden="false" customHeight="true" outlineLevel="0" collapsed="false">
      <c r="A352" s="155"/>
      <c r="B352" s="155"/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</row>
    <row r="353" customFormat="false" ht="13.5" hidden="false" customHeight="true" outlineLevel="0" collapsed="false">
      <c r="A353" s="155"/>
      <c r="B353" s="155"/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</row>
    <row r="354" customFormat="false" ht="13.5" hidden="false" customHeight="true" outlineLevel="0" collapsed="false">
      <c r="A354" s="155"/>
      <c r="B354" s="155"/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</row>
    <row r="355" customFormat="false" ht="13.5" hidden="false" customHeight="true" outlineLevel="0" collapsed="false">
      <c r="A355" s="155"/>
      <c r="B355" s="155"/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</row>
    <row r="356" customFormat="false" ht="13.5" hidden="false" customHeight="true" outlineLevel="0" collapsed="false">
      <c r="A356" s="155"/>
      <c r="B356" s="155"/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</row>
    <row r="357" customFormat="false" ht="13.5" hidden="false" customHeight="true" outlineLevel="0" collapsed="false">
      <c r="A357" s="155"/>
      <c r="B357" s="155"/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</row>
    <row r="358" customFormat="false" ht="13.5" hidden="false" customHeight="true" outlineLevel="0" collapsed="false">
      <c r="A358" s="155"/>
      <c r="B358" s="155"/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</row>
    <row r="359" customFormat="false" ht="13.5" hidden="false" customHeight="true" outlineLevel="0" collapsed="false">
      <c r="A359" s="155"/>
      <c r="B359" s="155"/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</row>
    <row r="360" customFormat="false" ht="13.5" hidden="false" customHeight="true" outlineLevel="0" collapsed="false">
      <c r="A360" s="155"/>
      <c r="B360" s="155"/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</row>
    <row r="361" customFormat="false" ht="13.5" hidden="false" customHeight="true" outlineLevel="0" collapsed="false">
      <c r="A361" s="155"/>
      <c r="B361" s="155"/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</row>
    <row r="362" customFormat="false" ht="13.5" hidden="false" customHeight="true" outlineLevel="0" collapsed="false">
      <c r="A362" s="155"/>
      <c r="B362" s="155"/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</row>
    <row r="363" customFormat="false" ht="13.5" hidden="false" customHeight="true" outlineLevel="0" collapsed="false">
      <c r="A363" s="155"/>
      <c r="B363" s="155"/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</row>
    <row r="364" customFormat="false" ht="13.5" hidden="false" customHeight="true" outlineLevel="0" collapsed="false">
      <c r="A364" s="155"/>
      <c r="B364" s="155"/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</row>
    <row r="365" customFormat="false" ht="13.5" hidden="false" customHeight="true" outlineLevel="0" collapsed="false">
      <c r="A365" s="155"/>
      <c r="B365" s="155"/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</row>
    <row r="366" customFormat="false" ht="13.5" hidden="false" customHeight="true" outlineLevel="0" collapsed="false">
      <c r="A366" s="155"/>
      <c r="B366" s="155"/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</row>
    <row r="367" customFormat="false" ht="13.5" hidden="false" customHeight="true" outlineLevel="0" collapsed="false">
      <c r="A367" s="155"/>
      <c r="B367" s="155"/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</row>
    <row r="368" customFormat="false" ht="13.5" hidden="false" customHeight="true" outlineLevel="0" collapsed="false">
      <c r="A368" s="155"/>
      <c r="B368" s="155"/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</row>
    <row r="369" customFormat="false" ht="13.5" hidden="false" customHeight="true" outlineLevel="0" collapsed="false">
      <c r="A369" s="155"/>
      <c r="B369" s="155"/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</row>
    <row r="370" customFormat="false" ht="13.5" hidden="false" customHeight="true" outlineLevel="0" collapsed="false">
      <c r="A370" s="155"/>
      <c r="B370" s="155"/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</row>
    <row r="371" customFormat="false" ht="13.5" hidden="false" customHeight="true" outlineLevel="0" collapsed="false">
      <c r="A371" s="155"/>
      <c r="B371" s="155"/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</row>
    <row r="372" customFormat="false" ht="13.5" hidden="false" customHeight="true" outlineLevel="0" collapsed="false">
      <c r="A372" s="155"/>
      <c r="B372" s="155"/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</row>
    <row r="373" customFormat="false" ht="13.5" hidden="false" customHeight="true" outlineLevel="0" collapsed="false">
      <c r="A373" s="155"/>
      <c r="B373" s="155"/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</row>
    <row r="374" customFormat="false" ht="13.5" hidden="false" customHeight="true" outlineLevel="0" collapsed="false">
      <c r="A374" s="155"/>
      <c r="B374" s="155"/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</row>
    <row r="375" customFormat="false" ht="13.5" hidden="false" customHeight="true" outlineLevel="0" collapsed="false">
      <c r="A375" s="155"/>
      <c r="B375" s="155"/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</row>
    <row r="376" customFormat="false" ht="13.5" hidden="false" customHeight="true" outlineLevel="0" collapsed="false">
      <c r="A376" s="155"/>
      <c r="B376" s="155"/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</row>
    <row r="377" customFormat="false" ht="13.5" hidden="false" customHeight="true" outlineLevel="0" collapsed="false">
      <c r="A377" s="155"/>
      <c r="B377" s="155"/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</row>
    <row r="378" customFormat="false" ht="13.5" hidden="false" customHeight="true" outlineLevel="0" collapsed="false">
      <c r="A378" s="155"/>
      <c r="B378" s="155"/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</row>
    <row r="379" customFormat="false" ht="13.5" hidden="false" customHeight="true" outlineLevel="0" collapsed="false">
      <c r="A379" s="155"/>
      <c r="B379" s="155"/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</row>
    <row r="380" customFormat="false" ht="13.5" hidden="false" customHeight="true" outlineLevel="0" collapsed="false">
      <c r="A380" s="155"/>
      <c r="B380" s="155"/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</row>
    <row r="381" customFormat="false" ht="13.5" hidden="false" customHeight="true" outlineLevel="0" collapsed="false">
      <c r="A381" s="155"/>
      <c r="B381" s="155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</row>
    <row r="382" customFormat="false" ht="13.5" hidden="false" customHeight="true" outlineLevel="0" collapsed="false">
      <c r="A382" s="155"/>
      <c r="B382" s="155"/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</row>
    <row r="383" customFormat="false" ht="13.5" hidden="false" customHeight="true" outlineLevel="0" collapsed="false">
      <c r="A383" s="155"/>
      <c r="B383" s="155"/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</row>
    <row r="384" customFormat="false" ht="13.5" hidden="false" customHeight="true" outlineLevel="0" collapsed="false">
      <c r="A384" s="155"/>
      <c r="B384" s="155"/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</row>
    <row r="385" customFormat="false" ht="13.5" hidden="false" customHeight="true" outlineLevel="0" collapsed="false">
      <c r="A385" s="155"/>
      <c r="B385" s="155"/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</row>
    <row r="386" customFormat="false" ht="13.5" hidden="false" customHeight="true" outlineLevel="0" collapsed="false">
      <c r="A386" s="155"/>
      <c r="B386" s="155"/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</row>
    <row r="387" customFormat="false" ht="13.5" hidden="false" customHeight="true" outlineLevel="0" collapsed="false">
      <c r="A387" s="155"/>
      <c r="B387" s="155"/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</row>
    <row r="388" customFormat="false" ht="13.5" hidden="false" customHeight="true" outlineLevel="0" collapsed="false">
      <c r="A388" s="155"/>
      <c r="B388" s="155"/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</row>
    <row r="389" customFormat="false" ht="13.5" hidden="false" customHeight="true" outlineLevel="0" collapsed="false">
      <c r="A389" s="155"/>
      <c r="B389" s="155"/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</row>
    <row r="390" customFormat="false" ht="13.5" hidden="false" customHeight="true" outlineLevel="0" collapsed="false">
      <c r="A390" s="155"/>
      <c r="B390" s="155"/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</row>
    <row r="391" customFormat="false" ht="13.5" hidden="false" customHeight="true" outlineLevel="0" collapsed="false">
      <c r="A391" s="155"/>
      <c r="B391" s="155"/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</row>
    <row r="392" customFormat="false" ht="13.5" hidden="false" customHeight="true" outlineLevel="0" collapsed="false">
      <c r="A392" s="155"/>
      <c r="B392" s="155"/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</row>
    <row r="393" customFormat="false" ht="13.5" hidden="false" customHeight="true" outlineLevel="0" collapsed="false">
      <c r="A393" s="155"/>
      <c r="B393" s="155"/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</row>
    <row r="394" customFormat="false" ht="13.5" hidden="false" customHeight="true" outlineLevel="0" collapsed="false">
      <c r="A394" s="155"/>
      <c r="B394" s="155"/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</row>
    <row r="395" customFormat="false" ht="13.5" hidden="false" customHeight="true" outlineLevel="0" collapsed="false">
      <c r="A395" s="155"/>
      <c r="B395" s="155"/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</row>
    <row r="396" customFormat="false" ht="13.5" hidden="false" customHeight="true" outlineLevel="0" collapsed="false">
      <c r="A396" s="155"/>
      <c r="B396" s="155"/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</row>
    <row r="397" customFormat="false" ht="13.5" hidden="false" customHeight="true" outlineLevel="0" collapsed="false">
      <c r="A397" s="155"/>
      <c r="B397" s="155"/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</row>
    <row r="398" customFormat="false" ht="13.5" hidden="false" customHeight="true" outlineLevel="0" collapsed="false">
      <c r="A398" s="155"/>
      <c r="B398" s="155"/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</row>
    <row r="399" customFormat="false" ht="13.5" hidden="false" customHeight="true" outlineLevel="0" collapsed="false">
      <c r="A399" s="155"/>
      <c r="B399" s="155"/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</row>
    <row r="400" customFormat="false" ht="13.5" hidden="false" customHeight="true" outlineLevel="0" collapsed="false">
      <c r="A400" s="155"/>
      <c r="B400" s="155"/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</row>
    <row r="401" customFormat="false" ht="13.5" hidden="false" customHeight="true" outlineLevel="0" collapsed="false">
      <c r="A401" s="155"/>
      <c r="B401" s="155"/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</row>
    <row r="402" customFormat="false" ht="13.5" hidden="false" customHeight="true" outlineLevel="0" collapsed="false">
      <c r="A402" s="155"/>
      <c r="B402" s="155"/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</row>
    <row r="403" customFormat="false" ht="13.5" hidden="false" customHeight="true" outlineLevel="0" collapsed="false">
      <c r="A403" s="155"/>
      <c r="B403" s="155"/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</row>
    <row r="404" customFormat="false" ht="13.5" hidden="false" customHeight="true" outlineLevel="0" collapsed="false">
      <c r="A404" s="155"/>
      <c r="B404" s="155"/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</row>
    <row r="405" customFormat="false" ht="13.5" hidden="false" customHeight="true" outlineLevel="0" collapsed="false">
      <c r="A405" s="155"/>
      <c r="B405" s="155"/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</row>
    <row r="406" customFormat="false" ht="13.5" hidden="false" customHeight="true" outlineLevel="0" collapsed="false">
      <c r="A406" s="155"/>
      <c r="B406" s="155"/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</row>
    <row r="407" customFormat="false" ht="13.5" hidden="false" customHeight="true" outlineLevel="0" collapsed="false">
      <c r="A407" s="155"/>
      <c r="B407" s="155"/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</row>
    <row r="408" customFormat="false" ht="13.5" hidden="false" customHeight="true" outlineLevel="0" collapsed="false">
      <c r="A408" s="155"/>
      <c r="B408" s="155"/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</row>
    <row r="409" customFormat="false" ht="13.5" hidden="false" customHeight="true" outlineLevel="0" collapsed="false">
      <c r="A409" s="155"/>
      <c r="B409" s="155"/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</row>
    <row r="410" customFormat="false" ht="13.5" hidden="false" customHeight="true" outlineLevel="0" collapsed="false">
      <c r="A410" s="155"/>
      <c r="B410" s="155"/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</row>
    <row r="411" customFormat="false" ht="13.5" hidden="false" customHeight="true" outlineLevel="0" collapsed="false">
      <c r="A411" s="155"/>
      <c r="B411" s="155"/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</row>
    <row r="412" customFormat="false" ht="13.5" hidden="false" customHeight="true" outlineLevel="0" collapsed="false">
      <c r="A412" s="155"/>
      <c r="B412" s="155"/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</row>
    <row r="413" customFormat="false" ht="13.5" hidden="false" customHeight="true" outlineLevel="0" collapsed="false">
      <c r="A413" s="155"/>
      <c r="B413" s="155"/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</row>
    <row r="414" customFormat="false" ht="13.5" hidden="false" customHeight="true" outlineLevel="0" collapsed="false">
      <c r="A414" s="155"/>
      <c r="B414" s="155"/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</row>
    <row r="415" customFormat="false" ht="13.5" hidden="false" customHeight="true" outlineLevel="0" collapsed="false">
      <c r="A415" s="155"/>
      <c r="B415" s="155"/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</row>
    <row r="416" customFormat="false" ht="13.5" hidden="false" customHeight="true" outlineLevel="0" collapsed="false">
      <c r="A416" s="155"/>
      <c r="B416" s="155"/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</row>
    <row r="417" customFormat="false" ht="13.5" hidden="false" customHeight="true" outlineLevel="0" collapsed="false">
      <c r="A417" s="155"/>
      <c r="B417" s="155"/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</row>
    <row r="418" customFormat="false" ht="13.5" hidden="false" customHeight="true" outlineLevel="0" collapsed="false">
      <c r="A418" s="155"/>
      <c r="B418" s="155"/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</row>
    <row r="419" customFormat="false" ht="13.5" hidden="false" customHeight="true" outlineLevel="0" collapsed="false">
      <c r="A419" s="155"/>
      <c r="B419" s="155"/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</row>
    <row r="420" customFormat="false" ht="13.5" hidden="false" customHeight="true" outlineLevel="0" collapsed="false">
      <c r="A420" s="155"/>
      <c r="B420" s="155"/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</row>
    <row r="421" customFormat="false" ht="13.5" hidden="false" customHeight="true" outlineLevel="0" collapsed="false">
      <c r="A421" s="155"/>
      <c r="B421" s="155"/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</row>
    <row r="422" customFormat="false" ht="13.5" hidden="false" customHeight="true" outlineLevel="0" collapsed="false">
      <c r="A422" s="155"/>
      <c r="B422" s="155"/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</row>
    <row r="423" customFormat="false" ht="13.5" hidden="false" customHeight="true" outlineLevel="0" collapsed="false">
      <c r="A423" s="155"/>
      <c r="B423" s="155"/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</row>
    <row r="424" customFormat="false" ht="13.5" hidden="false" customHeight="true" outlineLevel="0" collapsed="false">
      <c r="A424" s="155"/>
      <c r="B424" s="155"/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</row>
    <row r="425" customFormat="false" ht="13.5" hidden="false" customHeight="true" outlineLevel="0" collapsed="false">
      <c r="A425" s="155"/>
      <c r="B425" s="155"/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</row>
    <row r="426" customFormat="false" ht="13.5" hidden="false" customHeight="true" outlineLevel="0" collapsed="false">
      <c r="A426" s="155"/>
      <c r="B426" s="155"/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</row>
    <row r="427" customFormat="false" ht="13.5" hidden="false" customHeight="true" outlineLevel="0" collapsed="false">
      <c r="A427" s="155"/>
      <c r="B427" s="155"/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</row>
    <row r="428" customFormat="false" ht="13.5" hidden="false" customHeight="true" outlineLevel="0" collapsed="false">
      <c r="A428" s="155"/>
      <c r="B428" s="155"/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</row>
    <row r="429" customFormat="false" ht="13.5" hidden="false" customHeight="true" outlineLevel="0" collapsed="false">
      <c r="A429" s="155"/>
      <c r="B429" s="155"/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</row>
    <row r="430" customFormat="false" ht="13.5" hidden="false" customHeight="true" outlineLevel="0" collapsed="false">
      <c r="A430" s="155"/>
      <c r="B430" s="155"/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</row>
    <row r="431" customFormat="false" ht="13.5" hidden="false" customHeight="true" outlineLevel="0" collapsed="false">
      <c r="A431" s="155"/>
      <c r="B431" s="155"/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</row>
    <row r="432" customFormat="false" ht="13.5" hidden="false" customHeight="true" outlineLevel="0" collapsed="false">
      <c r="A432" s="155"/>
      <c r="B432" s="155"/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</row>
    <row r="433" customFormat="false" ht="13.5" hidden="false" customHeight="true" outlineLevel="0" collapsed="false">
      <c r="A433" s="155"/>
      <c r="B433" s="155"/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</row>
    <row r="434" customFormat="false" ht="13.5" hidden="false" customHeight="true" outlineLevel="0" collapsed="false">
      <c r="A434" s="155"/>
      <c r="B434" s="155"/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</row>
    <row r="435" customFormat="false" ht="13.5" hidden="false" customHeight="true" outlineLevel="0" collapsed="false">
      <c r="A435" s="155"/>
      <c r="B435" s="155"/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</row>
    <row r="436" customFormat="false" ht="13.5" hidden="false" customHeight="true" outlineLevel="0" collapsed="false">
      <c r="A436" s="155"/>
      <c r="B436" s="155"/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</row>
    <row r="437" customFormat="false" ht="13.5" hidden="false" customHeight="true" outlineLevel="0" collapsed="false">
      <c r="A437" s="155"/>
      <c r="B437" s="155"/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</row>
    <row r="438" customFormat="false" ht="13.5" hidden="false" customHeight="true" outlineLevel="0" collapsed="false">
      <c r="A438" s="155"/>
      <c r="B438" s="155"/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</row>
    <row r="439" customFormat="false" ht="13.5" hidden="false" customHeight="true" outlineLevel="0" collapsed="false">
      <c r="A439" s="155"/>
      <c r="B439" s="155"/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</row>
    <row r="440" customFormat="false" ht="13.5" hidden="false" customHeight="true" outlineLevel="0" collapsed="false">
      <c r="A440" s="155"/>
      <c r="B440" s="155"/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</row>
    <row r="441" customFormat="false" ht="13.5" hidden="false" customHeight="true" outlineLevel="0" collapsed="false">
      <c r="A441" s="155"/>
      <c r="B441" s="155"/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</row>
    <row r="442" customFormat="false" ht="13.5" hidden="false" customHeight="true" outlineLevel="0" collapsed="false">
      <c r="A442" s="155"/>
      <c r="B442" s="155"/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</row>
    <row r="443" customFormat="false" ht="13.5" hidden="false" customHeight="true" outlineLevel="0" collapsed="false">
      <c r="A443" s="155"/>
      <c r="B443" s="155"/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</row>
    <row r="444" customFormat="false" ht="13.5" hidden="false" customHeight="true" outlineLevel="0" collapsed="false">
      <c r="A444" s="155"/>
      <c r="B444" s="155"/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</row>
    <row r="445" customFormat="false" ht="13.5" hidden="false" customHeight="true" outlineLevel="0" collapsed="false">
      <c r="A445" s="155"/>
      <c r="B445" s="155"/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</row>
    <row r="446" customFormat="false" ht="13.5" hidden="false" customHeight="true" outlineLevel="0" collapsed="false">
      <c r="A446" s="155"/>
      <c r="B446" s="155"/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</row>
    <row r="447" customFormat="false" ht="13.5" hidden="false" customHeight="true" outlineLevel="0" collapsed="false">
      <c r="A447" s="155"/>
      <c r="B447" s="155"/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</row>
    <row r="448" customFormat="false" ht="13.5" hidden="false" customHeight="true" outlineLevel="0" collapsed="false">
      <c r="A448" s="155"/>
      <c r="B448" s="155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</row>
    <row r="449" customFormat="false" ht="13.5" hidden="false" customHeight="true" outlineLevel="0" collapsed="false">
      <c r="A449" s="155"/>
      <c r="B449" s="155"/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</row>
    <row r="450" customFormat="false" ht="13.5" hidden="false" customHeight="true" outlineLevel="0" collapsed="false">
      <c r="A450" s="155"/>
      <c r="B450" s="155"/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</row>
    <row r="451" customFormat="false" ht="13.5" hidden="false" customHeight="true" outlineLevel="0" collapsed="false">
      <c r="A451" s="155"/>
      <c r="B451" s="155"/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</row>
    <row r="452" customFormat="false" ht="13.5" hidden="false" customHeight="true" outlineLevel="0" collapsed="false">
      <c r="A452" s="155"/>
      <c r="B452" s="155"/>
      <c r="C452" s="155"/>
      <c r="D452" s="155"/>
      <c r="E452" s="155"/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</row>
    <row r="453" customFormat="false" ht="13.5" hidden="false" customHeight="true" outlineLevel="0" collapsed="false">
      <c r="A453" s="155"/>
      <c r="B453" s="155"/>
      <c r="C453" s="155"/>
      <c r="D453" s="155"/>
      <c r="E453" s="155"/>
      <c r="F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</row>
    <row r="454" customFormat="false" ht="13.5" hidden="false" customHeight="true" outlineLevel="0" collapsed="false">
      <c r="A454" s="155"/>
      <c r="B454" s="155"/>
      <c r="C454" s="155"/>
      <c r="D454" s="155"/>
      <c r="E454" s="155"/>
      <c r="F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</row>
    <row r="455" customFormat="false" ht="13.5" hidden="false" customHeight="true" outlineLevel="0" collapsed="false">
      <c r="A455" s="155"/>
      <c r="B455" s="155"/>
      <c r="C455" s="155"/>
      <c r="D455" s="155"/>
      <c r="E455" s="155"/>
      <c r="F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</row>
    <row r="456" customFormat="false" ht="13.5" hidden="false" customHeight="true" outlineLevel="0" collapsed="false">
      <c r="A456" s="155"/>
      <c r="B456" s="155"/>
      <c r="C456" s="155"/>
      <c r="D456" s="155"/>
      <c r="E456" s="155"/>
      <c r="F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</row>
    <row r="457" customFormat="false" ht="13.5" hidden="false" customHeight="true" outlineLevel="0" collapsed="false">
      <c r="A457" s="155"/>
      <c r="B457" s="155"/>
      <c r="C457" s="155"/>
      <c r="D457" s="155"/>
      <c r="E457" s="155"/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</row>
    <row r="458" customFormat="false" ht="13.5" hidden="false" customHeight="true" outlineLevel="0" collapsed="false">
      <c r="A458" s="155"/>
      <c r="B458" s="155"/>
      <c r="C458" s="155"/>
      <c r="D458" s="155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</row>
    <row r="459" customFormat="false" ht="13.5" hidden="false" customHeight="true" outlineLevel="0" collapsed="false">
      <c r="A459" s="155"/>
      <c r="B459" s="155"/>
      <c r="C459" s="155"/>
      <c r="D459" s="155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</row>
    <row r="460" customFormat="false" ht="13.5" hidden="false" customHeight="true" outlineLevel="0" collapsed="false">
      <c r="A460" s="155"/>
      <c r="B460" s="155"/>
      <c r="C460" s="155"/>
      <c r="D460" s="155"/>
      <c r="E460" s="155"/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</row>
    <row r="461" customFormat="false" ht="13.5" hidden="false" customHeight="true" outlineLevel="0" collapsed="false">
      <c r="A461" s="155"/>
      <c r="B461" s="155"/>
      <c r="C461" s="155"/>
      <c r="D461" s="155"/>
      <c r="E461" s="155"/>
      <c r="F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</row>
    <row r="462" customFormat="false" ht="13.5" hidden="false" customHeight="true" outlineLevel="0" collapsed="false">
      <c r="A462" s="155"/>
      <c r="B462" s="155"/>
      <c r="C462" s="155"/>
      <c r="D462" s="155"/>
      <c r="E462" s="155"/>
      <c r="F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</row>
    <row r="463" customFormat="false" ht="13.5" hidden="false" customHeight="true" outlineLevel="0" collapsed="false">
      <c r="A463" s="155"/>
      <c r="B463" s="155"/>
      <c r="C463" s="155"/>
      <c r="D463" s="155"/>
      <c r="E463" s="155"/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</row>
    <row r="464" customFormat="false" ht="13.5" hidden="false" customHeight="true" outlineLevel="0" collapsed="false">
      <c r="A464" s="155"/>
      <c r="B464" s="155"/>
      <c r="C464" s="155"/>
      <c r="D464" s="155"/>
      <c r="E464" s="155"/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</row>
    <row r="465" customFormat="false" ht="13.5" hidden="false" customHeight="true" outlineLevel="0" collapsed="false">
      <c r="A465" s="155"/>
      <c r="B465" s="155"/>
      <c r="C465" s="155"/>
      <c r="D465" s="155"/>
      <c r="E465" s="155"/>
      <c r="F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</row>
    <row r="466" customFormat="false" ht="13.5" hidden="false" customHeight="true" outlineLevel="0" collapsed="false">
      <c r="A466" s="155"/>
      <c r="B466" s="155"/>
      <c r="C466" s="155"/>
      <c r="D466" s="155"/>
      <c r="E466" s="155"/>
      <c r="F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</row>
    <row r="467" customFormat="false" ht="13.5" hidden="false" customHeight="true" outlineLevel="0" collapsed="false">
      <c r="A467" s="155"/>
      <c r="B467" s="155"/>
      <c r="C467" s="155"/>
      <c r="D467" s="155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</row>
    <row r="468" customFormat="false" ht="13.5" hidden="false" customHeight="true" outlineLevel="0" collapsed="false">
      <c r="A468" s="155"/>
      <c r="B468" s="155"/>
      <c r="C468" s="155"/>
      <c r="D468" s="155"/>
      <c r="E468" s="155"/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</row>
    <row r="469" customFormat="false" ht="13.5" hidden="false" customHeight="true" outlineLevel="0" collapsed="false">
      <c r="A469" s="155"/>
      <c r="B469" s="155"/>
      <c r="C469" s="155"/>
      <c r="D469" s="155"/>
      <c r="E469" s="155"/>
      <c r="F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</row>
    <row r="470" customFormat="false" ht="13.5" hidden="false" customHeight="true" outlineLevel="0" collapsed="false">
      <c r="A470" s="155"/>
      <c r="B470" s="155"/>
      <c r="C470" s="155"/>
      <c r="D470" s="155"/>
      <c r="E470" s="155"/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</row>
    <row r="471" customFormat="false" ht="13.5" hidden="false" customHeight="true" outlineLevel="0" collapsed="false">
      <c r="A471" s="155"/>
      <c r="B471" s="155"/>
      <c r="C471" s="155"/>
      <c r="D471" s="155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</row>
    <row r="472" customFormat="false" ht="13.5" hidden="false" customHeight="true" outlineLevel="0" collapsed="false">
      <c r="A472" s="155"/>
      <c r="B472" s="155"/>
      <c r="C472" s="155"/>
      <c r="D472" s="155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</row>
    <row r="473" customFormat="false" ht="13.5" hidden="false" customHeight="true" outlineLevel="0" collapsed="false">
      <c r="A473" s="155"/>
      <c r="B473" s="155"/>
      <c r="C473" s="155"/>
      <c r="D473" s="155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</row>
    <row r="474" customFormat="false" ht="13.5" hidden="false" customHeight="true" outlineLevel="0" collapsed="false">
      <c r="A474" s="155"/>
      <c r="B474" s="155"/>
      <c r="C474" s="155"/>
      <c r="D474" s="155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</row>
    <row r="475" customFormat="false" ht="13.5" hidden="false" customHeight="true" outlineLevel="0" collapsed="false">
      <c r="A475" s="155"/>
      <c r="B475" s="155"/>
      <c r="C475" s="155"/>
      <c r="D475" s="155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</row>
    <row r="476" customFormat="false" ht="13.5" hidden="false" customHeight="true" outlineLevel="0" collapsed="false">
      <c r="A476" s="155"/>
      <c r="B476" s="155"/>
      <c r="C476" s="155"/>
      <c r="D476" s="155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</row>
    <row r="477" customFormat="false" ht="13.5" hidden="false" customHeight="true" outlineLevel="0" collapsed="false">
      <c r="A477" s="155"/>
      <c r="B477" s="155"/>
      <c r="C477" s="155"/>
      <c r="D477" s="155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</row>
    <row r="478" customFormat="false" ht="13.5" hidden="false" customHeight="true" outlineLevel="0" collapsed="false">
      <c r="A478" s="155"/>
      <c r="B478" s="155"/>
      <c r="C478" s="155"/>
      <c r="D478" s="155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</row>
    <row r="479" customFormat="false" ht="13.5" hidden="false" customHeight="true" outlineLevel="0" collapsed="false">
      <c r="A479" s="155"/>
      <c r="B479" s="155"/>
      <c r="C479" s="155"/>
      <c r="D479" s="155"/>
      <c r="E479" s="155"/>
      <c r="F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</row>
    <row r="480" customFormat="false" ht="13.5" hidden="false" customHeight="true" outlineLevel="0" collapsed="false">
      <c r="A480" s="155"/>
      <c r="B480" s="155"/>
      <c r="C480" s="155"/>
      <c r="D480" s="155"/>
      <c r="E480" s="155"/>
      <c r="F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</row>
    <row r="481" customFormat="false" ht="13.5" hidden="false" customHeight="true" outlineLevel="0" collapsed="false">
      <c r="A481" s="155"/>
      <c r="B481" s="155"/>
      <c r="C481" s="155"/>
      <c r="D481" s="155"/>
      <c r="E481" s="155"/>
      <c r="F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</row>
    <row r="482" customFormat="false" ht="13.5" hidden="false" customHeight="true" outlineLevel="0" collapsed="false">
      <c r="A482" s="155"/>
      <c r="B482" s="155"/>
      <c r="C482" s="155"/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</row>
    <row r="483" customFormat="false" ht="13.5" hidden="false" customHeight="true" outlineLevel="0" collapsed="false">
      <c r="A483" s="155"/>
      <c r="B483" s="155"/>
      <c r="C483" s="155"/>
      <c r="D483" s="155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</row>
    <row r="484" customFormat="false" ht="13.5" hidden="false" customHeight="true" outlineLevel="0" collapsed="false">
      <c r="A484" s="155"/>
      <c r="B484" s="155"/>
      <c r="C484" s="155"/>
      <c r="D484" s="155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</row>
    <row r="485" customFormat="false" ht="13.5" hidden="false" customHeight="true" outlineLevel="0" collapsed="false">
      <c r="A485" s="155"/>
      <c r="B485" s="155"/>
      <c r="C485" s="155"/>
      <c r="D485" s="155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</row>
    <row r="486" customFormat="false" ht="13.5" hidden="false" customHeight="true" outlineLevel="0" collapsed="false">
      <c r="A486" s="155"/>
      <c r="B486" s="155"/>
      <c r="C486" s="155"/>
      <c r="D486" s="155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</row>
    <row r="487" customFormat="false" ht="13.5" hidden="false" customHeight="true" outlineLevel="0" collapsed="false">
      <c r="A487" s="155"/>
      <c r="B487" s="155"/>
      <c r="C487" s="155"/>
      <c r="D487" s="155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</row>
    <row r="488" customFormat="false" ht="13.5" hidden="false" customHeight="true" outlineLevel="0" collapsed="false">
      <c r="A488" s="155"/>
      <c r="B488" s="155"/>
      <c r="C488" s="155"/>
      <c r="D488" s="155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</row>
    <row r="489" customFormat="false" ht="13.5" hidden="false" customHeight="true" outlineLevel="0" collapsed="false">
      <c r="A489" s="155"/>
      <c r="B489" s="155"/>
      <c r="C489" s="155"/>
      <c r="D489" s="155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</row>
    <row r="490" customFormat="false" ht="13.5" hidden="false" customHeight="true" outlineLevel="0" collapsed="false">
      <c r="A490" s="155"/>
      <c r="B490" s="155"/>
      <c r="C490" s="155"/>
      <c r="D490" s="155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</row>
    <row r="491" customFormat="false" ht="13.5" hidden="false" customHeight="true" outlineLevel="0" collapsed="false">
      <c r="A491" s="155"/>
      <c r="B491" s="155"/>
      <c r="C491" s="155"/>
      <c r="D491" s="155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</row>
    <row r="492" customFormat="false" ht="13.5" hidden="false" customHeight="true" outlineLevel="0" collapsed="false">
      <c r="A492" s="155"/>
      <c r="B492" s="155"/>
      <c r="C492" s="155"/>
      <c r="D492" s="155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</row>
    <row r="493" customFormat="false" ht="13.5" hidden="false" customHeight="true" outlineLevel="0" collapsed="false">
      <c r="A493" s="155"/>
      <c r="B493" s="155"/>
      <c r="C493" s="155"/>
      <c r="D493" s="155"/>
      <c r="E493" s="155"/>
      <c r="F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</row>
    <row r="494" customFormat="false" ht="13.5" hidden="false" customHeight="true" outlineLevel="0" collapsed="false">
      <c r="A494" s="155"/>
      <c r="B494" s="155"/>
      <c r="C494" s="155"/>
      <c r="D494" s="155"/>
      <c r="E494" s="155"/>
      <c r="F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</row>
    <row r="495" customFormat="false" ht="13.5" hidden="false" customHeight="true" outlineLevel="0" collapsed="false">
      <c r="A495" s="155"/>
      <c r="B495" s="155"/>
      <c r="C495" s="155"/>
      <c r="D495" s="155"/>
      <c r="E495" s="155"/>
      <c r="F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</row>
    <row r="496" customFormat="false" ht="13.5" hidden="false" customHeight="true" outlineLevel="0" collapsed="false">
      <c r="A496" s="155"/>
      <c r="B496" s="155"/>
      <c r="C496" s="155"/>
      <c r="D496" s="155"/>
      <c r="E496" s="155"/>
      <c r="F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</row>
    <row r="497" customFormat="false" ht="13.5" hidden="false" customHeight="true" outlineLevel="0" collapsed="false">
      <c r="A497" s="155"/>
      <c r="B497" s="155"/>
      <c r="C497" s="155"/>
      <c r="D497" s="155"/>
      <c r="E497" s="155"/>
      <c r="F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</row>
    <row r="498" customFormat="false" ht="13.5" hidden="false" customHeight="true" outlineLevel="0" collapsed="false">
      <c r="A498" s="155"/>
      <c r="B498" s="155"/>
      <c r="C498" s="155"/>
      <c r="D498" s="155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</row>
    <row r="499" customFormat="false" ht="13.5" hidden="false" customHeight="true" outlineLevel="0" collapsed="false">
      <c r="A499" s="155"/>
      <c r="B499" s="155"/>
      <c r="C499" s="155"/>
      <c r="D499" s="155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</row>
    <row r="500" customFormat="false" ht="13.5" hidden="false" customHeight="true" outlineLevel="0" collapsed="false">
      <c r="A500" s="155"/>
      <c r="B500" s="155"/>
      <c r="C500" s="155"/>
      <c r="D500" s="155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</row>
    <row r="501" customFormat="false" ht="13.5" hidden="false" customHeight="true" outlineLevel="0" collapsed="false">
      <c r="A501" s="155"/>
      <c r="B501" s="155"/>
      <c r="C501" s="155"/>
      <c r="D501" s="155"/>
      <c r="E501" s="155"/>
      <c r="F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</row>
    <row r="502" customFormat="false" ht="13.5" hidden="false" customHeight="true" outlineLevel="0" collapsed="false">
      <c r="A502" s="155"/>
      <c r="B502" s="155"/>
      <c r="C502" s="155"/>
      <c r="D502" s="155"/>
      <c r="E502" s="155"/>
      <c r="F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</row>
    <row r="503" customFormat="false" ht="13.5" hidden="false" customHeight="true" outlineLevel="0" collapsed="false">
      <c r="A503" s="155"/>
      <c r="B503" s="155"/>
      <c r="C503" s="155"/>
      <c r="D503" s="155"/>
      <c r="E503" s="155"/>
      <c r="F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</row>
    <row r="504" customFormat="false" ht="13.5" hidden="false" customHeight="true" outlineLevel="0" collapsed="false">
      <c r="A504" s="155"/>
      <c r="B504" s="155"/>
      <c r="C504" s="155"/>
      <c r="D504" s="155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</row>
    <row r="505" customFormat="false" ht="13.5" hidden="false" customHeight="true" outlineLevel="0" collapsed="false">
      <c r="A505" s="155"/>
      <c r="B505" s="155"/>
      <c r="C505" s="155"/>
      <c r="D505" s="155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</row>
    <row r="506" customFormat="false" ht="13.5" hidden="false" customHeight="true" outlineLevel="0" collapsed="false">
      <c r="A506" s="155"/>
      <c r="B506" s="155"/>
      <c r="C506" s="155"/>
      <c r="D506" s="155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</row>
    <row r="507" customFormat="false" ht="13.5" hidden="false" customHeight="true" outlineLevel="0" collapsed="false">
      <c r="A507" s="155"/>
      <c r="B507" s="155"/>
      <c r="C507" s="155"/>
      <c r="D507" s="155"/>
      <c r="E507" s="155"/>
      <c r="F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</row>
    <row r="508" customFormat="false" ht="13.5" hidden="false" customHeight="true" outlineLevel="0" collapsed="false">
      <c r="A508" s="155"/>
      <c r="B508" s="155"/>
      <c r="C508" s="155"/>
      <c r="D508" s="155"/>
      <c r="E508" s="155"/>
      <c r="F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</row>
    <row r="509" customFormat="false" ht="13.5" hidden="false" customHeight="true" outlineLevel="0" collapsed="false">
      <c r="A509" s="155"/>
      <c r="B509" s="155"/>
      <c r="C509" s="155"/>
      <c r="D509" s="155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</row>
    <row r="510" customFormat="false" ht="13.5" hidden="false" customHeight="true" outlineLevel="0" collapsed="false">
      <c r="A510" s="155"/>
      <c r="B510" s="155"/>
      <c r="C510" s="155"/>
      <c r="D510" s="155"/>
      <c r="E510" s="155"/>
      <c r="F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</row>
    <row r="511" customFormat="false" ht="13.5" hidden="false" customHeight="true" outlineLevel="0" collapsed="false">
      <c r="A511" s="155"/>
      <c r="B511" s="155"/>
      <c r="C511" s="155"/>
      <c r="D511" s="155"/>
      <c r="E511" s="155"/>
      <c r="F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</row>
    <row r="512" customFormat="false" ht="13.5" hidden="false" customHeight="true" outlineLevel="0" collapsed="false">
      <c r="A512" s="155"/>
      <c r="B512" s="155"/>
      <c r="C512" s="155"/>
      <c r="D512" s="155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</row>
    <row r="513" customFormat="false" ht="13.5" hidden="false" customHeight="true" outlineLevel="0" collapsed="false">
      <c r="A513" s="155"/>
      <c r="B513" s="155"/>
      <c r="C513" s="155"/>
      <c r="D513" s="155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</row>
    <row r="514" customFormat="false" ht="13.5" hidden="false" customHeight="true" outlineLevel="0" collapsed="false">
      <c r="A514" s="155"/>
      <c r="B514" s="155"/>
      <c r="C514" s="155"/>
      <c r="D514" s="155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</row>
    <row r="515" customFormat="false" ht="13.5" hidden="false" customHeight="true" outlineLevel="0" collapsed="false">
      <c r="A515" s="155"/>
      <c r="B515" s="155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</row>
    <row r="516" customFormat="false" ht="13.5" hidden="false" customHeight="true" outlineLevel="0" collapsed="false">
      <c r="A516" s="155"/>
      <c r="B516" s="155"/>
      <c r="C516" s="155"/>
      <c r="D516" s="155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</row>
    <row r="517" customFormat="false" ht="13.5" hidden="false" customHeight="true" outlineLevel="0" collapsed="false">
      <c r="A517" s="155"/>
      <c r="B517" s="155"/>
      <c r="C517" s="155"/>
      <c r="D517" s="155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</row>
    <row r="518" customFormat="false" ht="13.5" hidden="false" customHeight="true" outlineLevel="0" collapsed="false">
      <c r="A518" s="155"/>
      <c r="B518" s="155"/>
      <c r="C518" s="155"/>
      <c r="D518" s="155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</row>
    <row r="519" customFormat="false" ht="13.5" hidden="false" customHeight="true" outlineLevel="0" collapsed="false">
      <c r="A519" s="155"/>
      <c r="B519" s="155"/>
      <c r="C519" s="155"/>
      <c r="D519" s="155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</row>
    <row r="520" customFormat="false" ht="13.5" hidden="false" customHeight="true" outlineLevel="0" collapsed="false">
      <c r="A520" s="155"/>
      <c r="B520" s="155"/>
      <c r="C520" s="155"/>
      <c r="D520" s="155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</row>
    <row r="521" customFormat="false" ht="13.5" hidden="false" customHeight="true" outlineLevel="0" collapsed="false">
      <c r="A521" s="155"/>
      <c r="B521" s="155"/>
      <c r="C521" s="155"/>
      <c r="D521" s="155"/>
      <c r="E521" s="155"/>
      <c r="F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</row>
    <row r="522" customFormat="false" ht="13.5" hidden="false" customHeight="true" outlineLevel="0" collapsed="false">
      <c r="A522" s="155"/>
      <c r="B522" s="155"/>
      <c r="C522" s="155"/>
      <c r="D522" s="155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</row>
    <row r="523" customFormat="false" ht="13.5" hidden="false" customHeight="true" outlineLevel="0" collapsed="false">
      <c r="A523" s="155"/>
      <c r="B523" s="155"/>
      <c r="C523" s="155"/>
      <c r="D523" s="155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</row>
    <row r="524" customFormat="false" ht="13.5" hidden="false" customHeight="true" outlineLevel="0" collapsed="false">
      <c r="A524" s="155"/>
      <c r="B524" s="155"/>
      <c r="C524" s="155"/>
      <c r="D524" s="155"/>
      <c r="E524" s="155"/>
      <c r="F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</row>
    <row r="525" customFormat="false" ht="13.5" hidden="false" customHeight="true" outlineLevel="0" collapsed="false">
      <c r="A525" s="155"/>
      <c r="B525" s="155"/>
      <c r="C525" s="155"/>
      <c r="D525" s="155"/>
      <c r="E525" s="155"/>
      <c r="F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</row>
    <row r="526" customFormat="false" ht="13.5" hidden="false" customHeight="true" outlineLevel="0" collapsed="false">
      <c r="A526" s="155"/>
      <c r="B526" s="155"/>
      <c r="C526" s="155"/>
      <c r="D526" s="155"/>
      <c r="E526" s="155"/>
      <c r="F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</row>
    <row r="527" customFormat="false" ht="13.5" hidden="false" customHeight="true" outlineLevel="0" collapsed="false">
      <c r="A527" s="155"/>
      <c r="B527" s="155"/>
      <c r="C527" s="155"/>
      <c r="D527" s="155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</row>
    <row r="528" customFormat="false" ht="13.5" hidden="false" customHeight="true" outlineLevel="0" collapsed="false">
      <c r="A528" s="155"/>
      <c r="B528" s="155"/>
      <c r="C528" s="155"/>
      <c r="D528" s="155"/>
      <c r="E528" s="155"/>
      <c r="F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</row>
    <row r="529" customFormat="false" ht="13.5" hidden="false" customHeight="true" outlineLevel="0" collapsed="false">
      <c r="A529" s="155"/>
      <c r="B529" s="155"/>
      <c r="C529" s="155"/>
      <c r="D529" s="155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</row>
    <row r="530" customFormat="false" ht="13.5" hidden="false" customHeight="true" outlineLevel="0" collapsed="false">
      <c r="A530" s="155"/>
      <c r="B530" s="155"/>
      <c r="C530" s="155"/>
      <c r="D530" s="155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</row>
    <row r="531" customFormat="false" ht="13.5" hidden="false" customHeight="true" outlineLevel="0" collapsed="false">
      <c r="A531" s="155"/>
      <c r="B531" s="155"/>
      <c r="C531" s="155"/>
      <c r="D531" s="155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</row>
    <row r="532" customFormat="false" ht="13.5" hidden="false" customHeight="true" outlineLevel="0" collapsed="false">
      <c r="A532" s="155"/>
      <c r="B532" s="155"/>
      <c r="C532" s="155"/>
      <c r="D532" s="155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</row>
    <row r="533" customFormat="false" ht="13.5" hidden="false" customHeight="true" outlineLevel="0" collapsed="false">
      <c r="A533" s="155"/>
      <c r="B533" s="155"/>
      <c r="C533" s="155"/>
      <c r="D533" s="155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</row>
    <row r="534" customFormat="false" ht="13.5" hidden="false" customHeight="true" outlineLevel="0" collapsed="false">
      <c r="A534" s="155"/>
      <c r="B534" s="155"/>
      <c r="C534" s="155"/>
      <c r="D534" s="155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</row>
    <row r="535" customFormat="false" ht="13.5" hidden="false" customHeight="true" outlineLevel="0" collapsed="false">
      <c r="A535" s="155"/>
      <c r="B535" s="155"/>
      <c r="C535" s="155"/>
      <c r="D535" s="155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</row>
    <row r="536" customFormat="false" ht="13.5" hidden="false" customHeight="true" outlineLevel="0" collapsed="false">
      <c r="A536" s="155"/>
      <c r="B536" s="155"/>
      <c r="C536" s="155"/>
      <c r="D536" s="155"/>
      <c r="E536" s="155"/>
      <c r="F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</row>
    <row r="537" customFormat="false" ht="13.5" hidden="false" customHeight="true" outlineLevel="0" collapsed="false">
      <c r="A537" s="155"/>
      <c r="B537" s="155"/>
      <c r="C537" s="155"/>
      <c r="D537" s="155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</row>
    <row r="538" customFormat="false" ht="13.5" hidden="false" customHeight="true" outlineLevel="0" collapsed="false">
      <c r="A538" s="155"/>
      <c r="B538" s="155"/>
      <c r="C538" s="155"/>
      <c r="D538" s="155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</row>
    <row r="539" customFormat="false" ht="13.5" hidden="false" customHeight="true" outlineLevel="0" collapsed="false">
      <c r="A539" s="155"/>
      <c r="B539" s="155"/>
      <c r="C539" s="155"/>
      <c r="D539" s="155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</row>
    <row r="540" customFormat="false" ht="13.5" hidden="false" customHeight="true" outlineLevel="0" collapsed="false">
      <c r="A540" s="155"/>
      <c r="B540" s="155"/>
      <c r="C540" s="155"/>
      <c r="D540" s="155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</row>
    <row r="541" customFormat="false" ht="13.5" hidden="false" customHeight="true" outlineLevel="0" collapsed="false">
      <c r="A541" s="155"/>
      <c r="B541" s="155"/>
      <c r="C541" s="155"/>
      <c r="D541" s="155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</row>
    <row r="542" customFormat="false" ht="13.5" hidden="false" customHeight="true" outlineLevel="0" collapsed="false">
      <c r="A542" s="155"/>
      <c r="B542" s="155"/>
      <c r="C542" s="155"/>
      <c r="D542" s="155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</row>
    <row r="543" customFormat="false" ht="13.5" hidden="false" customHeight="true" outlineLevel="0" collapsed="false">
      <c r="A543" s="155"/>
      <c r="B543" s="155"/>
      <c r="C543" s="155"/>
      <c r="D543" s="155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</row>
    <row r="544" customFormat="false" ht="13.5" hidden="false" customHeight="true" outlineLevel="0" collapsed="false">
      <c r="A544" s="155"/>
      <c r="B544" s="155"/>
      <c r="C544" s="155"/>
      <c r="D544" s="155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</row>
    <row r="545" customFormat="false" ht="13.5" hidden="false" customHeight="true" outlineLevel="0" collapsed="false">
      <c r="A545" s="155"/>
      <c r="B545" s="155"/>
      <c r="C545" s="155"/>
      <c r="D545" s="155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</row>
    <row r="546" customFormat="false" ht="13.5" hidden="false" customHeight="true" outlineLevel="0" collapsed="false">
      <c r="A546" s="155"/>
      <c r="B546" s="155"/>
      <c r="C546" s="155"/>
      <c r="D546" s="155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</row>
    <row r="547" customFormat="false" ht="13.5" hidden="false" customHeight="true" outlineLevel="0" collapsed="false">
      <c r="A547" s="155"/>
      <c r="B547" s="155"/>
      <c r="C547" s="155"/>
      <c r="D547" s="155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</row>
    <row r="548" customFormat="false" ht="13.5" hidden="false" customHeight="true" outlineLevel="0" collapsed="false">
      <c r="A548" s="155"/>
      <c r="B548" s="155"/>
      <c r="C548" s="155"/>
      <c r="D548" s="155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</row>
    <row r="549" customFormat="false" ht="13.5" hidden="false" customHeight="true" outlineLevel="0" collapsed="false">
      <c r="A549" s="155"/>
      <c r="B549" s="155"/>
      <c r="C549" s="155"/>
      <c r="D549" s="155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</row>
    <row r="550" customFormat="false" ht="13.5" hidden="false" customHeight="true" outlineLevel="0" collapsed="false">
      <c r="A550" s="155"/>
      <c r="B550" s="155"/>
      <c r="C550" s="155"/>
      <c r="D550" s="155"/>
      <c r="E550" s="155"/>
      <c r="F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</row>
    <row r="551" customFormat="false" ht="13.5" hidden="false" customHeight="true" outlineLevel="0" collapsed="false">
      <c r="A551" s="155"/>
      <c r="B551" s="155"/>
      <c r="C551" s="155"/>
      <c r="D551" s="155"/>
      <c r="E551" s="155"/>
      <c r="F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</row>
    <row r="552" customFormat="false" ht="13.5" hidden="false" customHeight="true" outlineLevel="0" collapsed="false">
      <c r="A552" s="155"/>
      <c r="B552" s="155"/>
      <c r="C552" s="155"/>
      <c r="D552" s="155"/>
      <c r="E552" s="155"/>
      <c r="F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</row>
    <row r="553" customFormat="false" ht="13.5" hidden="false" customHeight="true" outlineLevel="0" collapsed="false">
      <c r="A553" s="155"/>
      <c r="B553" s="155"/>
      <c r="C553" s="155"/>
      <c r="D553" s="155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</row>
    <row r="554" customFormat="false" ht="13.5" hidden="false" customHeight="true" outlineLevel="0" collapsed="false">
      <c r="A554" s="155"/>
      <c r="B554" s="155"/>
      <c r="C554" s="155"/>
      <c r="D554" s="155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</row>
    <row r="555" customFormat="false" ht="13.5" hidden="false" customHeight="true" outlineLevel="0" collapsed="false">
      <c r="A555" s="155"/>
      <c r="B555" s="155"/>
      <c r="C555" s="155"/>
      <c r="D555" s="155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</row>
    <row r="556" customFormat="false" ht="13.5" hidden="false" customHeight="true" outlineLevel="0" collapsed="false">
      <c r="A556" s="155"/>
      <c r="B556" s="155"/>
      <c r="C556" s="155"/>
      <c r="D556" s="155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</row>
    <row r="557" customFormat="false" ht="13.5" hidden="false" customHeight="true" outlineLevel="0" collapsed="false">
      <c r="A557" s="155"/>
      <c r="B557" s="155"/>
      <c r="C557" s="155"/>
      <c r="D557" s="155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</row>
    <row r="558" customFormat="false" ht="13.5" hidden="false" customHeight="true" outlineLevel="0" collapsed="false">
      <c r="A558" s="155"/>
      <c r="B558" s="155"/>
      <c r="C558" s="155"/>
      <c r="D558" s="155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</row>
    <row r="559" customFormat="false" ht="13.5" hidden="false" customHeight="true" outlineLevel="0" collapsed="false">
      <c r="A559" s="155"/>
      <c r="B559" s="155"/>
      <c r="C559" s="155"/>
      <c r="D559" s="155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</row>
    <row r="560" customFormat="false" ht="13.5" hidden="false" customHeight="true" outlineLevel="0" collapsed="false">
      <c r="A560" s="155"/>
      <c r="B560" s="155"/>
      <c r="C560" s="155"/>
      <c r="D560" s="155"/>
      <c r="E560" s="155"/>
      <c r="F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</row>
    <row r="561" customFormat="false" ht="13.5" hidden="false" customHeight="true" outlineLevel="0" collapsed="false">
      <c r="A561" s="155"/>
      <c r="B561" s="155"/>
      <c r="C561" s="155"/>
      <c r="D561" s="155"/>
      <c r="E561" s="155"/>
      <c r="F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</row>
    <row r="562" customFormat="false" ht="13.5" hidden="false" customHeight="true" outlineLevel="0" collapsed="false">
      <c r="A562" s="155"/>
      <c r="B562" s="155"/>
      <c r="C562" s="155"/>
      <c r="D562" s="155"/>
      <c r="E562" s="155"/>
      <c r="F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</row>
    <row r="563" customFormat="false" ht="13.5" hidden="false" customHeight="true" outlineLevel="0" collapsed="false">
      <c r="A563" s="155"/>
      <c r="B563" s="155"/>
      <c r="C563" s="155"/>
      <c r="D563" s="155"/>
      <c r="E563" s="155"/>
      <c r="F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</row>
    <row r="564" customFormat="false" ht="13.5" hidden="false" customHeight="true" outlineLevel="0" collapsed="false">
      <c r="A564" s="155"/>
      <c r="B564" s="155"/>
      <c r="C564" s="155"/>
      <c r="D564" s="155"/>
      <c r="E564" s="155"/>
      <c r="F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</row>
    <row r="565" customFormat="false" ht="13.5" hidden="false" customHeight="true" outlineLevel="0" collapsed="false">
      <c r="A565" s="155"/>
      <c r="B565" s="155"/>
      <c r="C565" s="155"/>
      <c r="D565" s="155"/>
      <c r="E565" s="155"/>
      <c r="F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</row>
    <row r="566" customFormat="false" ht="13.5" hidden="false" customHeight="true" outlineLevel="0" collapsed="false">
      <c r="A566" s="155"/>
      <c r="B566" s="155"/>
      <c r="C566" s="155"/>
      <c r="D566" s="155"/>
      <c r="E566" s="155"/>
      <c r="F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</row>
    <row r="567" customFormat="false" ht="13.5" hidden="false" customHeight="true" outlineLevel="0" collapsed="false">
      <c r="A567" s="155"/>
      <c r="B567" s="155"/>
      <c r="C567" s="155"/>
      <c r="D567" s="155"/>
      <c r="E567" s="155"/>
      <c r="F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</row>
    <row r="568" customFormat="false" ht="13.5" hidden="false" customHeight="true" outlineLevel="0" collapsed="false">
      <c r="A568" s="155"/>
      <c r="B568" s="155"/>
      <c r="C568" s="155"/>
      <c r="D568" s="155"/>
      <c r="E568" s="155"/>
      <c r="F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</row>
    <row r="569" customFormat="false" ht="13.5" hidden="false" customHeight="true" outlineLevel="0" collapsed="false">
      <c r="A569" s="155"/>
      <c r="B569" s="155"/>
      <c r="C569" s="155"/>
      <c r="D569" s="155"/>
      <c r="E569" s="155"/>
      <c r="F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</row>
    <row r="570" customFormat="false" ht="13.5" hidden="false" customHeight="true" outlineLevel="0" collapsed="false">
      <c r="A570" s="155"/>
      <c r="B570" s="155"/>
      <c r="C570" s="155"/>
      <c r="D570" s="155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</row>
    <row r="571" customFormat="false" ht="13.5" hidden="false" customHeight="true" outlineLevel="0" collapsed="false">
      <c r="A571" s="155"/>
      <c r="B571" s="155"/>
      <c r="C571" s="155"/>
      <c r="D571" s="155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</row>
    <row r="572" customFormat="false" ht="13.5" hidden="false" customHeight="true" outlineLevel="0" collapsed="false">
      <c r="A572" s="155"/>
      <c r="B572" s="155"/>
      <c r="C572" s="155"/>
      <c r="D572" s="155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</row>
    <row r="573" customFormat="false" ht="13.5" hidden="false" customHeight="true" outlineLevel="0" collapsed="false">
      <c r="A573" s="155"/>
      <c r="B573" s="155"/>
      <c r="C573" s="155"/>
      <c r="D573" s="155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</row>
    <row r="574" customFormat="false" ht="13.5" hidden="false" customHeight="true" outlineLevel="0" collapsed="false">
      <c r="A574" s="155"/>
      <c r="B574" s="155"/>
      <c r="C574" s="155"/>
      <c r="D574" s="155"/>
      <c r="E574" s="155"/>
      <c r="F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</row>
    <row r="575" customFormat="false" ht="13.5" hidden="false" customHeight="true" outlineLevel="0" collapsed="false">
      <c r="A575" s="155"/>
      <c r="B575" s="155"/>
      <c r="C575" s="155"/>
      <c r="D575" s="155"/>
      <c r="E575" s="155"/>
      <c r="F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</row>
    <row r="576" customFormat="false" ht="13.5" hidden="false" customHeight="true" outlineLevel="0" collapsed="false">
      <c r="A576" s="155"/>
      <c r="B576" s="155"/>
      <c r="C576" s="155"/>
      <c r="D576" s="155"/>
      <c r="E576" s="155"/>
      <c r="F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</row>
    <row r="577" customFormat="false" ht="13.5" hidden="false" customHeight="true" outlineLevel="0" collapsed="false">
      <c r="A577" s="155"/>
      <c r="B577" s="155"/>
      <c r="C577" s="155"/>
      <c r="D577" s="155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</row>
    <row r="578" customFormat="false" ht="13.5" hidden="false" customHeight="true" outlineLevel="0" collapsed="false">
      <c r="A578" s="155"/>
      <c r="B578" s="155"/>
      <c r="C578" s="155"/>
      <c r="D578" s="155"/>
      <c r="E578" s="155"/>
      <c r="F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</row>
    <row r="579" customFormat="false" ht="13.5" hidden="false" customHeight="true" outlineLevel="0" collapsed="false">
      <c r="A579" s="155"/>
      <c r="B579" s="155"/>
      <c r="C579" s="155"/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</row>
    <row r="580" customFormat="false" ht="13.5" hidden="false" customHeight="true" outlineLevel="0" collapsed="false">
      <c r="A580" s="155"/>
      <c r="B580" s="155"/>
      <c r="C580" s="155"/>
      <c r="D580" s="155"/>
      <c r="E580" s="155"/>
      <c r="F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</row>
    <row r="581" customFormat="false" ht="13.5" hidden="false" customHeight="true" outlineLevel="0" collapsed="false">
      <c r="A581" s="155"/>
      <c r="B581" s="155"/>
      <c r="C581" s="155"/>
      <c r="D581" s="155"/>
      <c r="E581" s="155"/>
      <c r="F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</row>
    <row r="582" customFormat="false" ht="13.5" hidden="false" customHeight="true" outlineLevel="0" collapsed="false">
      <c r="A582" s="155"/>
      <c r="B582" s="155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</row>
    <row r="583" customFormat="false" ht="13.5" hidden="false" customHeight="true" outlineLevel="0" collapsed="false">
      <c r="A583" s="155"/>
      <c r="B583" s="155"/>
      <c r="C583" s="155"/>
      <c r="D583" s="155"/>
      <c r="E583" s="155"/>
      <c r="F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</row>
    <row r="584" customFormat="false" ht="13.5" hidden="false" customHeight="true" outlineLevel="0" collapsed="false">
      <c r="A584" s="155"/>
      <c r="B584" s="155"/>
      <c r="C584" s="155"/>
      <c r="D584" s="155"/>
      <c r="E584" s="155"/>
      <c r="F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</row>
    <row r="585" customFormat="false" ht="13.5" hidden="false" customHeight="true" outlineLevel="0" collapsed="false">
      <c r="A585" s="155"/>
      <c r="B585" s="155"/>
      <c r="C585" s="155"/>
      <c r="D585" s="155"/>
      <c r="E585" s="155"/>
      <c r="F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</row>
    <row r="586" customFormat="false" ht="13.5" hidden="false" customHeight="true" outlineLevel="0" collapsed="false">
      <c r="A586" s="155"/>
      <c r="B586" s="155"/>
      <c r="C586" s="155"/>
      <c r="D586" s="155"/>
      <c r="E586" s="155"/>
      <c r="F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</row>
    <row r="587" customFormat="false" ht="13.5" hidden="false" customHeight="true" outlineLevel="0" collapsed="false">
      <c r="A587" s="155"/>
      <c r="B587" s="155"/>
      <c r="C587" s="155"/>
      <c r="D587" s="155"/>
      <c r="E587" s="155"/>
      <c r="F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</row>
    <row r="588" customFormat="false" ht="13.5" hidden="false" customHeight="true" outlineLevel="0" collapsed="false">
      <c r="A588" s="155"/>
      <c r="B588" s="155"/>
      <c r="C588" s="155"/>
      <c r="D588" s="155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</row>
    <row r="589" customFormat="false" ht="13.5" hidden="false" customHeight="true" outlineLevel="0" collapsed="false">
      <c r="A589" s="155"/>
      <c r="B589" s="155"/>
      <c r="C589" s="155"/>
      <c r="D589" s="155"/>
      <c r="E589" s="155"/>
      <c r="F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</row>
    <row r="590" customFormat="false" ht="13.5" hidden="false" customHeight="true" outlineLevel="0" collapsed="false">
      <c r="A590" s="155"/>
      <c r="B590" s="155"/>
      <c r="C590" s="155"/>
      <c r="D590" s="155"/>
      <c r="E590" s="155"/>
      <c r="F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</row>
    <row r="591" customFormat="false" ht="13.5" hidden="false" customHeight="true" outlineLevel="0" collapsed="false">
      <c r="A591" s="155"/>
      <c r="B591" s="155"/>
      <c r="C591" s="155"/>
      <c r="D591" s="155"/>
      <c r="E591" s="155"/>
      <c r="F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</row>
    <row r="592" customFormat="false" ht="13.5" hidden="false" customHeight="true" outlineLevel="0" collapsed="false">
      <c r="A592" s="155"/>
      <c r="B592" s="155"/>
      <c r="C592" s="155"/>
      <c r="D592" s="155"/>
      <c r="E592" s="155"/>
      <c r="F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</row>
    <row r="593" customFormat="false" ht="13.5" hidden="false" customHeight="true" outlineLevel="0" collapsed="false">
      <c r="A593" s="155"/>
      <c r="B593" s="155"/>
      <c r="C593" s="155"/>
      <c r="D593" s="155"/>
      <c r="E593" s="155"/>
      <c r="F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</row>
    <row r="594" customFormat="false" ht="13.5" hidden="false" customHeight="true" outlineLevel="0" collapsed="false">
      <c r="A594" s="155"/>
      <c r="B594" s="155"/>
      <c r="C594" s="155"/>
      <c r="D594" s="155"/>
      <c r="E594" s="155"/>
      <c r="F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</row>
    <row r="595" customFormat="false" ht="13.5" hidden="false" customHeight="true" outlineLevel="0" collapsed="false">
      <c r="A595" s="155"/>
      <c r="B595" s="155"/>
      <c r="C595" s="155"/>
      <c r="D595" s="155"/>
      <c r="E595" s="155"/>
      <c r="F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</row>
    <row r="596" customFormat="false" ht="13.5" hidden="false" customHeight="true" outlineLevel="0" collapsed="false">
      <c r="A596" s="155"/>
      <c r="B596" s="155"/>
      <c r="C596" s="155"/>
      <c r="D596" s="155"/>
      <c r="E596" s="155"/>
      <c r="F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</row>
    <row r="597" customFormat="false" ht="13.5" hidden="false" customHeight="true" outlineLevel="0" collapsed="false">
      <c r="A597" s="155"/>
      <c r="B597" s="155"/>
      <c r="C597" s="155"/>
      <c r="D597" s="155"/>
      <c r="E597" s="155"/>
      <c r="F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</row>
    <row r="598" customFormat="false" ht="13.5" hidden="false" customHeight="true" outlineLevel="0" collapsed="false">
      <c r="A598" s="155"/>
      <c r="B598" s="155"/>
      <c r="C598" s="155"/>
      <c r="D598" s="155"/>
      <c r="E598" s="155"/>
      <c r="F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</row>
    <row r="599" customFormat="false" ht="13.5" hidden="false" customHeight="true" outlineLevel="0" collapsed="false">
      <c r="A599" s="155"/>
      <c r="B599" s="155"/>
      <c r="C599" s="155"/>
      <c r="D599" s="155"/>
      <c r="E599" s="155"/>
      <c r="F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</row>
    <row r="600" customFormat="false" ht="13.5" hidden="false" customHeight="true" outlineLevel="0" collapsed="false">
      <c r="A600" s="155"/>
      <c r="B600" s="155"/>
      <c r="C600" s="155"/>
      <c r="D600" s="155"/>
      <c r="E600" s="155"/>
      <c r="F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</row>
    <row r="601" customFormat="false" ht="13.5" hidden="false" customHeight="true" outlineLevel="0" collapsed="false">
      <c r="A601" s="155"/>
      <c r="B601" s="155"/>
      <c r="C601" s="155"/>
      <c r="D601" s="155"/>
      <c r="E601" s="155"/>
      <c r="F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</row>
    <row r="602" customFormat="false" ht="13.5" hidden="false" customHeight="true" outlineLevel="0" collapsed="false">
      <c r="A602" s="155"/>
      <c r="B602" s="155"/>
      <c r="C602" s="155"/>
      <c r="D602" s="155"/>
      <c r="E602" s="155"/>
      <c r="F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</row>
    <row r="603" customFormat="false" ht="13.5" hidden="false" customHeight="true" outlineLevel="0" collapsed="false">
      <c r="A603" s="155"/>
      <c r="B603" s="155"/>
      <c r="C603" s="155"/>
      <c r="D603" s="155"/>
      <c r="E603" s="155"/>
      <c r="F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</row>
    <row r="604" customFormat="false" ht="13.5" hidden="false" customHeight="true" outlineLevel="0" collapsed="false">
      <c r="A604" s="155"/>
      <c r="B604" s="155"/>
      <c r="C604" s="155"/>
      <c r="D604" s="155"/>
      <c r="E604" s="155"/>
      <c r="F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</row>
    <row r="605" customFormat="false" ht="13.5" hidden="false" customHeight="true" outlineLevel="0" collapsed="false">
      <c r="A605" s="155"/>
      <c r="B605" s="155"/>
      <c r="C605" s="155"/>
      <c r="D605" s="155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</row>
    <row r="606" customFormat="false" ht="13.5" hidden="false" customHeight="true" outlineLevel="0" collapsed="false">
      <c r="A606" s="155"/>
      <c r="B606" s="155"/>
      <c r="C606" s="155"/>
      <c r="D606" s="155"/>
      <c r="E606" s="155"/>
      <c r="F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</row>
    <row r="607" customFormat="false" ht="13.5" hidden="false" customHeight="true" outlineLevel="0" collapsed="false">
      <c r="A607" s="155"/>
      <c r="B607" s="155"/>
      <c r="C607" s="155"/>
      <c r="D607" s="155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</row>
    <row r="608" customFormat="false" ht="13.5" hidden="false" customHeight="true" outlineLevel="0" collapsed="false">
      <c r="A608" s="155"/>
      <c r="B608" s="155"/>
      <c r="C608" s="155"/>
      <c r="D608" s="155"/>
      <c r="E608" s="155"/>
      <c r="F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</row>
    <row r="609" customFormat="false" ht="13.5" hidden="false" customHeight="true" outlineLevel="0" collapsed="false">
      <c r="A609" s="155"/>
      <c r="B609" s="155"/>
      <c r="C609" s="155"/>
      <c r="D609" s="155"/>
      <c r="E609" s="155"/>
      <c r="F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</row>
    <row r="610" customFormat="false" ht="13.5" hidden="false" customHeight="true" outlineLevel="0" collapsed="false">
      <c r="A610" s="155"/>
      <c r="B610" s="155"/>
      <c r="C610" s="155"/>
      <c r="D610" s="155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</row>
    <row r="611" customFormat="false" ht="13.5" hidden="false" customHeight="true" outlineLevel="0" collapsed="false">
      <c r="A611" s="155"/>
      <c r="B611" s="155"/>
      <c r="C611" s="155"/>
      <c r="D611" s="155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</row>
    <row r="612" customFormat="false" ht="13.5" hidden="false" customHeight="true" outlineLevel="0" collapsed="false">
      <c r="A612" s="155"/>
      <c r="B612" s="155"/>
      <c r="C612" s="155"/>
      <c r="D612" s="155"/>
      <c r="E612" s="155"/>
      <c r="F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</row>
    <row r="613" customFormat="false" ht="13.5" hidden="false" customHeight="true" outlineLevel="0" collapsed="false">
      <c r="A613" s="155"/>
      <c r="B613" s="155"/>
      <c r="C613" s="155"/>
      <c r="D613" s="155"/>
      <c r="E613" s="155"/>
      <c r="F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</row>
    <row r="614" customFormat="false" ht="13.5" hidden="false" customHeight="true" outlineLevel="0" collapsed="false">
      <c r="A614" s="155"/>
      <c r="B614" s="155"/>
      <c r="C614" s="155"/>
      <c r="D614" s="155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</row>
    <row r="615" customFormat="false" ht="13.5" hidden="false" customHeight="true" outlineLevel="0" collapsed="false">
      <c r="A615" s="155"/>
      <c r="B615" s="155"/>
      <c r="C615" s="155"/>
      <c r="D615" s="155"/>
      <c r="E615" s="155"/>
      <c r="F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</row>
    <row r="616" customFormat="false" ht="13.5" hidden="false" customHeight="true" outlineLevel="0" collapsed="false">
      <c r="A616" s="155"/>
      <c r="B616" s="155"/>
      <c r="C616" s="155"/>
      <c r="D616" s="155"/>
      <c r="E616" s="155"/>
      <c r="F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</row>
    <row r="617" customFormat="false" ht="13.5" hidden="false" customHeight="true" outlineLevel="0" collapsed="false">
      <c r="A617" s="155"/>
      <c r="B617" s="155"/>
      <c r="C617" s="155"/>
      <c r="D617" s="155"/>
      <c r="E617" s="155"/>
      <c r="F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</row>
    <row r="618" customFormat="false" ht="13.5" hidden="false" customHeight="true" outlineLevel="0" collapsed="false">
      <c r="A618" s="155"/>
      <c r="B618" s="155"/>
      <c r="C618" s="155"/>
      <c r="D618" s="155"/>
      <c r="E618" s="155"/>
      <c r="F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</row>
    <row r="619" customFormat="false" ht="13.5" hidden="false" customHeight="true" outlineLevel="0" collapsed="false">
      <c r="A619" s="155"/>
      <c r="B619" s="155"/>
      <c r="C619" s="155"/>
      <c r="D619" s="155"/>
      <c r="E619" s="155"/>
      <c r="F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</row>
    <row r="620" customFormat="false" ht="13.5" hidden="false" customHeight="true" outlineLevel="0" collapsed="false">
      <c r="A620" s="155"/>
      <c r="B620" s="155"/>
      <c r="C620" s="155"/>
      <c r="D620" s="155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</row>
    <row r="621" customFormat="false" ht="13.5" hidden="false" customHeight="true" outlineLevel="0" collapsed="false">
      <c r="A621" s="155"/>
      <c r="B621" s="155"/>
      <c r="C621" s="155"/>
      <c r="D621" s="155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</row>
    <row r="622" customFormat="false" ht="13.5" hidden="false" customHeight="true" outlineLevel="0" collapsed="false">
      <c r="A622" s="155"/>
      <c r="B622" s="155"/>
      <c r="C622" s="155"/>
      <c r="D622" s="155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</row>
    <row r="623" customFormat="false" ht="13.5" hidden="false" customHeight="true" outlineLevel="0" collapsed="false">
      <c r="A623" s="155"/>
      <c r="B623" s="155"/>
      <c r="C623" s="155"/>
      <c r="D623" s="155"/>
      <c r="E623" s="155"/>
      <c r="F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</row>
    <row r="624" customFormat="false" ht="13.5" hidden="false" customHeight="true" outlineLevel="0" collapsed="false">
      <c r="A624" s="155"/>
      <c r="B624" s="155"/>
      <c r="C624" s="155"/>
      <c r="D624" s="155"/>
      <c r="E624" s="155"/>
      <c r="F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</row>
    <row r="625" customFormat="false" ht="13.5" hidden="false" customHeight="true" outlineLevel="0" collapsed="false">
      <c r="A625" s="155"/>
      <c r="B625" s="155"/>
      <c r="C625" s="155"/>
      <c r="D625" s="155"/>
      <c r="E625" s="155"/>
      <c r="F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</row>
    <row r="626" customFormat="false" ht="13.5" hidden="false" customHeight="true" outlineLevel="0" collapsed="false">
      <c r="A626" s="155"/>
      <c r="B626" s="155"/>
      <c r="C626" s="155"/>
      <c r="D626" s="155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</row>
    <row r="627" customFormat="false" ht="13.5" hidden="false" customHeight="true" outlineLevel="0" collapsed="false">
      <c r="A627" s="155"/>
      <c r="B627" s="155"/>
      <c r="C627" s="155"/>
      <c r="D627" s="155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</row>
    <row r="628" customFormat="false" ht="13.5" hidden="false" customHeight="true" outlineLevel="0" collapsed="false">
      <c r="A628" s="155"/>
      <c r="B628" s="155"/>
      <c r="C628" s="155"/>
      <c r="D628" s="155"/>
      <c r="E628" s="155"/>
      <c r="F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</row>
    <row r="629" customFormat="false" ht="13.5" hidden="false" customHeight="true" outlineLevel="0" collapsed="false">
      <c r="A629" s="155"/>
      <c r="B629" s="155"/>
      <c r="C629" s="155"/>
      <c r="D629" s="155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</row>
    <row r="630" customFormat="false" ht="13.5" hidden="false" customHeight="true" outlineLevel="0" collapsed="false">
      <c r="A630" s="155"/>
      <c r="B630" s="155"/>
      <c r="C630" s="155"/>
      <c r="D630" s="155"/>
      <c r="E630" s="155"/>
      <c r="F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</row>
    <row r="631" customFormat="false" ht="13.5" hidden="false" customHeight="true" outlineLevel="0" collapsed="false">
      <c r="A631" s="155"/>
      <c r="B631" s="155"/>
      <c r="C631" s="155"/>
      <c r="D631" s="155"/>
      <c r="E631" s="155"/>
      <c r="F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</row>
    <row r="632" customFormat="false" ht="13.5" hidden="false" customHeight="true" outlineLevel="0" collapsed="false">
      <c r="A632" s="155"/>
      <c r="B632" s="155"/>
      <c r="C632" s="155"/>
      <c r="D632" s="155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</row>
    <row r="633" customFormat="false" ht="13.5" hidden="false" customHeight="true" outlineLevel="0" collapsed="false">
      <c r="A633" s="155"/>
      <c r="B633" s="155"/>
      <c r="C633" s="155"/>
      <c r="D633" s="155"/>
      <c r="E633" s="155"/>
      <c r="F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</row>
    <row r="634" customFormat="false" ht="13.5" hidden="false" customHeight="true" outlineLevel="0" collapsed="false">
      <c r="A634" s="155"/>
      <c r="B634" s="155"/>
      <c r="C634" s="155"/>
      <c r="D634" s="155"/>
      <c r="E634" s="155"/>
      <c r="F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</row>
    <row r="635" customFormat="false" ht="13.5" hidden="false" customHeight="true" outlineLevel="0" collapsed="false">
      <c r="A635" s="155"/>
      <c r="B635" s="155"/>
      <c r="C635" s="155"/>
      <c r="D635" s="155"/>
      <c r="E635" s="155"/>
      <c r="F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</row>
    <row r="636" customFormat="false" ht="13.5" hidden="false" customHeight="true" outlineLevel="0" collapsed="false">
      <c r="A636" s="155"/>
      <c r="B636" s="155"/>
      <c r="C636" s="155"/>
      <c r="D636" s="155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</row>
    <row r="637" customFormat="false" ht="13.5" hidden="false" customHeight="true" outlineLevel="0" collapsed="false">
      <c r="A637" s="155"/>
      <c r="B637" s="155"/>
      <c r="C637" s="155"/>
      <c r="D637" s="155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</row>
    <row r="638" customFormat="false" ht="13.5" hidden="false" customHeight="true" outlineLevel="0" collapsed="false">
      <c r="A638" s="155"/>
      <c r="B638" s="155"/>
      <c r="C638" s="155"/>
      <c r="D638" s="155"/>
      <c r="E638" s="155"/>
      <c r="F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</row>
    <row r="639" customFormat="false" ht="13.5" hidden="false" customHeight="true" outlineLevel="0" collapsed="false">
      <c r="A639" s="155"/>
      <c r="B639" s="155"/>
      <c r="C639" s="155"/>
      <c r="D639" s="155"/>
      <c r="E639" s="155"/>
      <c r="F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</row>
    <row r="640" customFormat="false" ht="13.5" hidden="false" customHeight="true" outlineLevel="0" collapsed="false">
      <c r="A640" s="155"/>
      <c r="B640" s="155"/>
      <c r="C640" s="155"/>
      <c r="D640" s="155"/>
      <c r="E640" s="155"/>
      <c r="F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</row>
    <row r="641" customFormat="false" ht="13.5" hidden="false" customHeight="true" outlineLevel="0" collapsed="false">
      <c r="A641" s="155"/>
      <c r="B641" s="155"/>
      <c r="C641" s="155"/>
      <c r="D641" s="155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</row>
    <row r="642" customFormat="false" ht="13.5" hidden="false" customHeight="true" outlineLevel="0" collapsed="false">
      <c r="A642" s="155"/>
      <c r="B642" s="155"/>
      <c r="C642" s="155"/>
      <c r="D642" s="155"/>
      <c r="E642" s="155"/>
      <c r="F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</row>
    <row r="643" customFormat="false" ht="13.5" hidden="false" customHeight="true" outlineLevel="0" collapsed="false">
      <c r="A643" s="155"/>
      <c r="B643" s="155"/>
      <c r="C643" s="155"/>
      <c r="D643" s="155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</row>
    <row r="644" customFormat="false" ht="13.5" hidden="false" customHeight="true" outlineLevel="0" collapsed="false">
      <c r="A644" s="155"/>
      <c r="B644" s="155"/>
      <c r="C644" s="155"/>
      <c r="D644" s="155"/>
      <c r="E644" s="155"/>
      <c r="F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</row>
    <row r="645" customFormat="false" ht="13.5" hidden="false" customHeight="true" outlineLevel="0" collapsed="false">
      <c r="A645" s="155"/>
      <c r="B645" s="155"/>
      <c r="C645" s="155"/>
      <c r="D645" s="155"/>
      <c r="E645" s="155"/>
      <c r="F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</row>
    <row r="646" customFormat="false" ht="13.5" hidden="false" customHeight="true" outlineLevel="0" collapsed="false">
      <c r="A646" s="155"/>
      <c r="B646" s="155"/>
      <c r="C646" s="155"/>
      <c r="D646" s="155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</row>
    <row r="647" customFormat="false" ht="13.5" hidden="false" customHeight="true" outlineLevel="0" collapsed="false">
      <c r="A647" s="155"/>
      <c r="B647" s="155"/>
      <c r="C647" s="155"/>
      <c r="D647" s="155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</row>
    <row r="648" customFormat="false" ht="13.5" hidden="false" customHeight="true" outlineLevel="0" collapsed="false">
      <c r="A648" s="155"/>
      <c r="B648" s="155"/>
      <c r="C648" s="155"/>
      <c r="D648" s="155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</row>
    <row r="649" customFormat="false" ht="13.5" hidden="false" customHeight="true" outlineLevel="0" collapsed="false">
      <c r="A649" s="155"/>
      <c r="B649" s="155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</row>
    <row r="650" customFormat="false" ht="13.5" hidden="false" customHeight="true" outlineLevel="0" collapsed="false">
      <c r="A650" s="155"/>
      <c r="B650" s="155"/>
      <c r="C650" s="155"/>
      <c r="D650" s="155"/>
      <c r="E650" s="155"/>
      <c r="F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</row>
    <row r="651" customFormat="false" ht="13.5" hidden="false" customHeight="true" outlineLevel="0" collapsed="false">
      <c r="A651" s="155"/>
      <c r="B651" s="155"/>
      <c r="C651" s="155"/>
      <c r="D651" s="155"/>
      <c r="E651" s="155"/>
      <c r="F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</row>
    <row r="652" customFormat="false" ht="13.5" hidden="false" customHeight="true" outlineLevel="0" collapsed="false">
      <c r="A652" s="155"/>
      <c r="B652" s="155"/>
      <c r="C652" s="155"/>
      <c r="D652" s="155"/>
      <c r="E652" s="155"/>
      <c r="F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</row>
    <row r="653" customFormat="false" ht="13.5" hidden="false" customHeight="true" outlineLevel="0" collapsed="false">
      <c r="A653" s="155"/>
      <c r="B653" s="155"/>
      <c r="C653" s="155"/>
      <c r="D653" s="155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</row>
    <row r="654" customFormat="false" ht="13.5" hidden="false" customHeight="true" outlineLevel="0" collapsed="false">
      <c r="A654" s="155"/>
      <c r="B654" s="155"/>
      <c r="C654" s="155"/>
      <c r="D654" s="155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</row>
    <row r="655" customFormat="false" ht="13.5" hidden="false" customHeight="true" outlineLevel="0" collapsed="false">
      <c r="A655" s="155"/>
      <c r="B655" s="155"/>
      <c r="C655" s="155"/>
      <c r="D655" s="155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</row>
    <row r="656" customFormat="false" ht="13.5" hidden="false" customHeight="true" outlineLevel="0" collapsed="false">
      <c r="A656" s="155"/>
      <c r="B656" s="155"/>
      <c r="C656" s="155"/>
      <c r="D656" s="155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</row>
    <row r="657" customFormat="false" ht="13.5" hidden="false" customHeight="true" outlineLevel="0" collapsed="false">
      <c r="A657" s="155"/>
      <c r="B657" s="155"/>
      <c r="C657" s="155"/>
      <c r="D657" s="155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</row>
    <row r="658" customFormat="false" ht="13.5" hidden="false" customHeight="true" outlineLevel="0" collapsed="false">
      <c r="A658" s="155"/>
      <c r="B658" s="155"/>
      <c r="C658" s="155"/>
      <c r="D658" s="155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</row>
    <row r="659" customFormat="false" ht="13.5" hidden="false" customHeight="true" outlineLevel="0" collapsed="false">
      <c r="A659" s="155"/>
      <c r="B659" s="155"/>
      <c r="C659" s="155"/>
      <c r="D659" s="155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</row>
    <row r="660" customFormat="false" ht="13.5" hidden="false" customHeight="true" outlineLevel="0" collapsed="false">
      <c r="A660" s="155"/>
      <c r="B660" s="155"/>
      <c r="C660" s="155"/>
      <c r="D660" s="155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</row>
    <row r="661" customFormat="false" ht="13.5" hidden="false" customHeight="true" outlineLevel="0" collapsed="false">
      <c r="A661" s="155"/>
      <c r="B661" s="155"/>
      <c r="C661" s="155"/>
      <c r="D661" s="155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</row>
    <row r="662" customFormat="false" ht="13.5" hidden="false" customHeight="true" outlineLevel="0" collapsed="false">
      <c r="A662" s="155"/>
      <c r="B662" s="155"/>
      <c r="C662" s="155"/>
      <c r="D662" s="155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</row>
    <row r="663" customFormat="false" ht="13.5" hidden="false" customHeight="true" outlineLevel="0" collapsed="false">
      <c r="A663" s="155"/>
      <c r="B663" s="155"/>
      <c r="C663" s="155"/>
      <c r="D663" s="155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</row>
    <row r="664" customFormat="false" ht="13.5" hidden="false" customHeight="true" outlineLevel="0" collapsed="false">
      <c r="A664" s="155"/>
      <c r="B664" s="155"/>
      <c r="C664" s="155"/>
      <c r="D664" s="155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</row>
    <row r="665" customFormat="false" ht="13.5" hidden="false" customHeight="true" outlineLevel="0" collapsed="false">
      <c r="A665" s="155"/>
      <c r="B665" s="155"/>
      <c r="C665" s="155"/>
      <c r="D665" s="155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</row>
    <row r="666" customFormat="false" ht="13.5" hidden="false" customHeight="true" outlineLevel="0" collapsed="false">
      <c r="A666" s="155"/>
      <c r="B666" s="155"/>
      <c r="C666" s="155"/>
      <c r="D666" s="155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</row>
    <row r="667" customFormat="false" ht="13.5" hidden="false" customHeight="true" outlineLevel="0" collapsed="false">
      <c r="A667" s="155"/>
      <c r="B667" s="155"/>
      <c r="C667" s="155"/>
      <c r="D667" s="155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</row>
    <row r="668" customFormat="false" ht="13.5" hidden="false" customHeight="true" outlineLevel="0" collapsed="false">
      <c r="A668" s="155"/>
      <c r="B668" s="155"/>
      <c r="C668" s="155"/>
      <c r="D668" s="155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</row>
    <row r="669" customFormat="false" ht="13.5" hidden="false" customHeight="true" outlineLevel="0" collapsed="false">
      <c r="A669" s="155"/>
      <c r="B669" s="155"/>
      <c r="C669" s="155"/>
      <c r="D669" s="155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</row>
    <row r="670" customFormat="false" ht="13.5" hidden="false" customHeight="true" outlineLevel="0" collapsed="false">
      <c r="A670" s="155"/>
      <c r="B670" s="155"/>
      <c r="C670" s="155"/>
      <c r="D670" s="155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</row>
    <row r="671" customFormat="false" ht="13.5" hidden="false" customHeight="true" outlineLevel="0" collapsed="false">
      <c r="A671" s="155"/>
      <c r="B671" s="155"/>
      <c r="C671" s="155"/>
      <c r="D671" s="155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</row>
    <row r="672" customFormat="false" ht="13.5" hidden="false" customHeight="true" outlineLevel="0" collapsed="false">
      <c r="A672" s="155"/>
      <c r="B672" s="155"/>
      <c r="C672" s="155"/>
      <c r="D672" s="155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</row>
    <row r="673" customFormat="false" ht="13.5" hidden="false" customHeight="true" outlineLevel="0" collapsed="false">
      <c r="A673" s="155"/>
      <c r="B673" s="155"/>
      <c r="C673" s="155"/>
      <c r="D673" s="155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</row>
    <row r="674" customFormat="false" ht="13.5" hidden="false" customHeight="true" outlineLevel="0" collapsed="false">
      <c r="A674" s="155"/>
      <c r="B674" s="155"/>
      <c r="C674" s="155"/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</row>
    <row r="675" customFormat="false" ht="13.5" hidden="false" customHeight="true" outlineLevel="0" collapsed="false">
      <c r="A675" s="155"/>
      <c r="B675" s="155"/>
      <c r="C675" s="155"/>
      <c r="D675" s="155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</row>
    <row r="676" customFormat="false" ht="13.5" hidden="false" customHeight="true" outlineLevel="0" collapsed="false">
      <c r="A676" s="155"/>
      <c r="B676" s="155"/>
      <c r="C676" s="155"/>
      <c r="D676" s="155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</row>
    <row r="677" customFormat="false" ht="13.5" hidden="false" customHeight="true" outlineLevel="0" collapsed="false">
      <c r="A677" s="155"/>
      <c r="B677" s="155"/>
      <c r="C677" s="155"/>
      <c r="D677" s="155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</row>
    <row r="678" customFormat="false" ht="13.5" hidden="false" customHeight="true" outlineLevel="0" collapsed="false">
      <c r="A678" s="155"/>
      <c r="B678" s="155"/>
      <c r="C678" s="155"/>
      <c r="D678" s="155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</row>
    <row r="679" customFormat="false" ht="13.5" hidden="false" customHeight="true" outlineLevel="0" collapsed="false">
      <c r="A679" s="155"/>
      <c r="B679" s="155"/>
      <c r="C679" s="155"/>
      <c r="D679" s="155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</row>
    <row r="680" customFormat="false" ht="13.5" hidden="false" customHeight="true" outlineLevel="0" collapsed="false">
      <c r="A680" s="155"/>
      <c r="B680" s="155"/>
      <c r="C680" s="155"/>
      <c r="D680" s="155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</row>
    <row r="681" customFormat="false" ht="13.5" hidden="false" customHeight="true" outlineLevel="0" collapsed="false">
      <c r="A681" s="155"/>
      <c r="B681" s="155"/>
      <c r="C681" s="155"/>
      <c r="D681" s="155"/>
      <c r="E681" s="155"/>
      <c r="F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</row>
    <row r="682" customFormat="false" ht="13.5" hidden="false" customHeight="true" outlineLevel="0" collapsed="false">
      <c r="A682" s="155"/>
      <c r="B682" s="155"/>
      <c r="C682" s="155"/>
      <c r="D682" s="155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</row>
    <row r="683" customFormat="false" ht="13.5" hidden="false" customHeight="true" outlineLevel="0" collapsed="false">
      <c r="A683" s="155"/>
      <c r="B683" s="155"/>
      <c r="C683" s="155"/>
      <c r="D683" s="155"/>
      <c r="E683" s="155"/>
      <c r="F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</row>
    <row r="684" customFormat="false" ht="13.5" hidden="false" customHeight="true" outlineLevel="0" collapsed="false">
      <c r="A684" s="155"/>
      <c r="B684" s="155"/>
      <c r="C684" s="155"/>
      <c r="D684" s="155"/>
      <c r="E684" s="155"/>
      <c r="F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</row>
    <row r="685" customFormat="false" ht="13.5" hidden="false" customHeight="true" outlineLevel="0" collapsed="false">
      <c r="A685" s="155"/>
      <c r="B685" s="155"/>
      <c r="C685" s="155"/>
      <c r="D685" s="155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</row>
    <row r="686" customFormat="false" ht="13.5" hidden="false" customHeight="true" outlineLevel="0" collapsed="false">
      <c r="A686" s="155"/>
      <c r="B686" s="155"/>
      <c r="C686" s="155"/>
      <c r="D686" s="155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</row>
    <row r="687" customFormat="false" ht="13.5" hidden="false" customHeight="true" outlineLevel="0" collapsed="false">
      <c r="A687" s="155"/>
      <c r="B687" s="155"/>
      <c r="C687" s="155"/>
      <c r="D687" s="155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</row>
    <row r="688" customFormat="false" ht="13.5" hidden="false" customHeight="true" outlineLevel="0" collapsed="false">
      <c r="A688" s="155"/>
      <c r="B688" s="155"/>
      <c r="C688" s="155"/>
      <c r="D688" s="155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</row>
    <row r="689" customFormat="false" ht="13.5" hidden="false" customHeight="true" outlineLevel="0" collapsed="false">
      <c r="A689" s="155"/>
      <c r="B689" s="155"/>
      <c r="C689" s="155"/>
      <c r="D689" s="155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</row>
    <row r="690" customFormat="false" ht="13.5" hidden="false" customHeight="true" outlineLevel="0" collapsed="false">
      <c r="A690" s="155"/>
      <c r="B690" s="155"/>
      <c r="C690" s="155"/>
      <c r="D690" s="155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</row>
    <row r="691" customFormat="false" ht="13.5" hidden="false" customHeight="true" outlineLevel="0" collapsed="false">
      <c r="A691" s="155"/>
      <c r="B691" s="155"/>
      <c r="C691" s="155"/>
      <c r="D691" s="155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</row>
    <row r="692" customFormat="false" ht="13.5" hidden="false" customHeight="true" outlineLevel="0" collapsed="false">
      <c r="A692" s="155"/>
      <c r="B692" s="155"/>
      <c r="C692" s="155"/>
      <c r="D692" s="155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</row>
    <row r="693" customFormat="false" ht="13.5" hidden="false" customHeight="true" outlineLevel="0" collapsed="false">
      <c r="A693" s="155"/>
      <c r="B693" s="155"/>
      <c r="C693" s="155"/>
      <c r="D693" s="155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</row>
    <row r="694" customFormat="false" ht="13.5" hidden="false" customHeight="true" outlineLevel="0" collapsed="false">
      <c r="A694" s="155"/>
      <c r="B694" s="155"/>
      <c r="C694" s="155"/>
      <c r="D694" s="155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</row>
    <row r="695" customFormat="false" ht="13.5" hidden="false" customHeight="true" outlineLevel="0" collapsed="false">
      <c r="A695" s="155"/>
      <c r="B695" s="155"/>
      <c r="C695" s="155"/>
      <c r="D695" s="155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</row>
    <row r="696" customFormat="false" ht="13.5" hidden="false" customHeight="true" outlineLevel="0" collapsed="false">
      <c r="A696" s="155"/>
      <c r="B696" s="155"/>
      <c r="C696" s="155"/>
      <c r="D696" s="155"/>
      <c r="E696" s="155"/>
      <c r="F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</row>
    <row r="697" customFormat="false" ht="13.5" hidden="false" customHeight="true" outlineLevel="0" collapsed="false">
      <c r="A697" s="155"/>
      <c r="B697" s="155"/>
      <c r="C697" s="155"/>
      <c r="D697" s="155"/>
      <c r="E697" s="155"/>
      <c r="F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</row>
    <row r="698" customFormat="false" ht="13.5" hidden="false" customHeight="true" outlineLevel="0" collapsed="false">
      <c r="A698" s="155"/>
      <c r="B698" s="155"/>
      <c r="C698" s="155"/>
      <c r="D698" s="155"/>
      <c r="E698" s="155"/>
      <c r="F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</row>
    <row r="699" customFormat="false" ht="13.5" hidden="false" customHeight="true" outlineLevel="0" collapsed="false">
      <c r="A699" s="155"/>
      <c r="B699" s="155"/>
      <c r="C699" s="155"/>
      <c r="D699" s="155"/>
      <c r="E699" s="155"/>
      <c r="F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</row>
    <row r="700" customFormat="false" ht="13.5" hidden="false" customHeight="true" outlineLevel="0" collapsed="false">
      <c r="A700" s="155"/>
      <c r="B700" s="155"/>
      <c r="C700" s="155"/>
      <c r="D700" s="155"/>
      <c r="E700" s="155"/>
      <c r="F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</row>
    <row r="701" customFormat="false" ht="13.5" hidden="false" customHeight="true" outlineLevel="0" collapsed="false">
      <c r="A701" s="155"/>
      <c r="B701" s="155"/>
      <c r="C701" s="155"/>
      <c r="D701" s="155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</row>
    <row r="702" customFormat="false" ht="13.5" hidden="false" customHeight="true" outlineLevel="0" collapsed="false">
      <c r="A702" s="155"/>
      <c r="B702" s="155"/>
      <c r="C702" s="155"/>
      <c r="D702" s="155"/>
      <c r="E702" s="155"/>
      <c r="F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</row>
    <row r="703" customFormat="false" ht="13.5" hidden="false" customHeight="true" outlineLevel="0" collapsed="false">
      <c r="A703" s="155"/>
      <c r="B703" s="155"/>
      <c r="C703" s="155"/>
      <c r="D703" s="155"/>
      <c r="E703" s="155"/>
      <c r="F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</row>
    <row r="704" customFormat="false" ht="13.5" hidden="false" customHeight="true" outlineLevel="0" collapsed="false">
      <c r="A704" s="155"/>
      <c r="B704" s="155"/>
      <c r="C704" s="155"/>
      <c r="D704" s="155"/>
      <c r="E704" s="155"/>
      <c r="F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</row>
    <row r="705" customFormat="false" ht="13.5" hidden="false" customHeight="true" outlineLevel="0" collapsed="false">
      <c r="A705" s="155"/>
      <c r="B705" s="155"/>
      <c r="C705" s="155"/>
      <c r="D705" s="155"/>
      <c r="E705" s="155"/>
      <c r="F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</row>
    <row r="706" customFormat="false" ht="13.5" hidden="false" customHeight="true" outlineLevel="0" collapsed="false">
      <c r="A706" s="155"/>
      <c r="B706" s="155"/>
      <c r="C706" s="155"/>
      <c r="D706" s="155"/>
      <c r="E706" s="155"/>
      <c r="F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</row>
    <row r="707" customFormat="false" ht="13.5" hidden="false" customHeight="true" outlineLevel="0" collapsed="false">
      <c r="A707" s="155"/>
      <c r="B707" s="155"/>
      <c r="C707" s="155"/>
      <c r="D707" s="155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</row>
    <row r="708" customFormat="false" ht="13.5" hidden="false" customHeight="true" outlineLevel="0" collapsed="false">
      <c r="A708" s="155"/>
      <c r="B708" s="155"/>
      <c r="C708" s="155"/>
      <c r="D708" s="155"/>
      <c r="E708" s="155"/>
      <c r="F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</row>
    <row r="709" customFormat="false" ht="13.5" hidden="false" customHeight="true" outlineLevel="0" collapsed="false">
      <c r="A709" s="155"/>
      <c r="B709" s="155"/>
      <c r="C709" s="155"/>
      <c r="D709" s="155"/>
      <c r="E709" s="155"/>
      <c r="F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</row>
    <row r="710" customFormat="false" ht="13.5" hidden="false" customHeight="true" outlineLevel="0" collapsed="false">
      <c r="A710" s="155"/>
      <c r="B710" s="155"/>
      <c r="C710" s="155"/>
      <c r="D710" s="155"/>
      <c r="E710" s="155"/>
      <c r="F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</row>
    <row r="711" customFormat="false" ht="13.5" hidden="false" customHeight="true" outlineLevel="0" collapsed="false">
      <c r="A711" s="155"/>
      <c r="B711" s="155"/>
      <c r="C711" s="155"/>
      <c r="D711" s="155"/>
      <c r="E711" s="155"/>
      <c r="F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</row>
    <row r="712" customFormat="false" ht="13.5" hidden="false" customHeight="true" outlineLevel="0" collapsed="false">
      <c r="A712" s="155"/>
      <c r="B712" s="155"/>
      <c r="C712" s="155"/>
      <c r="D712" s="155"/>
      <c r="E712" s="155"/>
      <c r="F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</row>
    <row r="713" customFormat="false" ht="13.5" hidden="false" customHeight="true" outlineLevel="0" collapsed="false">
      <c r="A713" s="155"/>
      <c r="B713" s="155"/>
      <c r="C713" s="155"/>
      <c r="D713" s="155"/>
      <c r="E713" s="155"/>
      <c r="F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</row>
    <row r="714" customFormat="false" ht="13.5" hidden="false" customHeight="true" outlineLevel="0" collapsed="false">
      <c r="A714" s="155"/>
      <c r="B714" s="155"/>
      <c r="C714" s="155"/>
      <c r="D714" s="155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</row>
    <row r="715" customFormat="false" ht="13.5" hidden="false" customHeight="true" outlineLevel="0" collapsed="false">
      <c r="A715" s="155"/>
      <c r="B715" s="155"/>
      <c r="C715" s="155"/>
      <c r="D715" s="155"/>
      <c r="E715" s="155"/>
      <c r="F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</row>
    <row r="716" customFormat="false" ht="13.5" hidden="false" customHeight="true" outlineLevel="0" collapsed="false">
      <c r="A716" s="155"/>
      <c r="B716" s="155"/>
      <c r="C716" s="155"/>
      <c r="D716" s="155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</row>
    <row r="717" customFormat="false" ht="13.5" hidden="false" customHeight="true" outlineLevel="0" collapsed="false">
      <c r="A717" s="155"/>
      <c r="B717" s="155"/>
      <c r="C717" s="155"/>
      <c r="D717" s="155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</row>
    <row r="718" customFormat="false" ht="13.5" hidden="false" customHeight="true" outlineLevel="0" collapsed="false">
      <c r="A718" s="155"/>
      <c r="B718" s="155"/>
      <c r="C718" s="155"/>
      <c r="D718" s="155"/>
      <c r="E718" s="155"/>
      <c r="F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</row>
    <row r="719" customFormat="false" ht="13.5" hidden="false" customHeight="true" outlineLevel="0" collapsed="false">
      <c r="A719" s="155"/>
      <c r="B719" s="155"/>
      <c r="C719" s="155"/>
      <c r="D719" s="155"/>
      <c r="E719" s="155"/>
      <c r="F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</row>
    <row r="720" customFormat="false" ht="13.5" hidden="false" customHeight="true" outlineLevel="0" collapsed="false">
      <c r="A720" s="155"/>
      <c r="B720" s="155"/>
      <c r="C720" s="155"/>
      <c r="D720" s="155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</row>
    <row r="721" customFormat="false" ht="13.5" hidden="false" customHeight="true" outlineLevel="0" collapsed="false">
      <c r="A721" s="155"/>
      <c r="B721" s="155"/>
      <c r="C721" s="155"/>
      <c r="D721" s="155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</row>
    <row r="722" customFormat="false" ht="13.5" hidden="false" customHeight="true" outlineLevel="0" collapsed="false">
      <c r="A722" s="155"/>
      <c r="B722" s="155"/>
      <c r="C722" s="155"/>
      <c r="D722" s="155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</row>
    <row r="723" customFormat="false" ht="13.5" hidden="false" customHeight="true" outlineLevel="0" collapsed="false">
      <c r="A723" s="155"/>
      <c r="B723" s="155"/>
      <c r="C723" s="155"/>
      <c r="D723" s="155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</row>
    <row r="724" customFormat="false" ht="13.5" hidden="false" customHeight="true" outlineLevel="0" collapsed="false">
      <c r="A724" s="155"/>
      <c r="B724" s="155"/>
      <c r="C724" s="155"/>
      <c r="D724" s="155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</row>
    <row r="725" customFormat="false" ht="13.5" hidden="false" customHeight="true" outlineLevel="0" collapsed="false">
      <c r="A725" s="155"/>
      <c r="B725" s="155"/>
      <c r="C725" s="155"/>
      <c r="D725" s="155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</row>
    <row r="726" customFormat="false" ht="13.5" hidden="false" customHeight="true" outlineLevel="0" collapsed="false">
      <c r="A726" s="155"/>
      <c r="B726" s="155"/>
      <c r="C726" s="155"/>
      <c r="D726" s="155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</row>
    <row r="727" customFormat="false" ht="13.5" hidden="false" customHeight="true" outlineLevel="0" collapsed="false">
      <c r="A727" s="155"/>
      <c r="B727" s="155"/>
      <c r="C727" s="155"/>
      <c r="D727" s="155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</row>
    <row r="728" customFormat="false" ht="13.5" hidden="false" customHeight="true" outlineLevel="0" collapsed="false">
      <c r="A728" s="155"/>
      <c r="B728" s="155"/>
      <c r="C728" s="155"/>
      <c r="D728" s="155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</row>
    <row r="729" customFormat="false" ht="13.5" hidden="false" customHeight="true" outlineLevel="0" collapsed="false">
      <c r="A729" s="155"/>
      <c r="B729" s="155"/>
      <c r="C729" s="155"/>
      <c r="D729" s="155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</row>
    <row r="730" customFormat="false" ht="13.5" hidden="false" customHeight="true" outlineLevel="0" collapsed="false">
      <c r="A730" s="155"/>
      <c r="B730" s="155"/>
      <c r="C730" s="155"/>
      <c r="D730" s="155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</row>
    <row r="731" customFormat="false" ht="13.5" hidden="false" customHeight="true" outlineLevel="0" collapsed="false">
      <c r="A731" s="155"/>
      <c r="B731" s="155"/>
      <c r="C731" s="155"/>
      <c r="D731" s="155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</row>
    <row r="732" customFormat="false" ht="13.5" hidden="false" customHeight="true" outlineLevel="0" collapsed="false">
      <c r="A732" s="155"/>
      <c r="B732" s="155"/>
      <c r="C732" s="155"/>
      <c r="D732" s="155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</row>
    <row r="733" customFormat="false" ht="13.5" hidden="false" customHeight="true" outlineLevel="0" collapsed="false">
      <c r="A733" s="155"/>
      <c r="B733" s="155"/>
      <c r="C733" s="155"/>
      <c r="D733" s="155"/>
      <c r="E733" s="155"/>
      <c r="F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</row>
    <row r="734" customFormat="false" ht="13.5" hidden="false" customHeight="true" outlineLevel="0" collapsed="false">
      <c r="A734" s="155"/>
      <c r="B734" s="155"/>
      <c r="C734" s="155"/>
      <c r="D734" s="155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</row>
    <row r="735" customFormat="false" ht="13.5" hidden="false" customHeight="true" outlineLevel="0" collapsed="false">
      <c r="A735" s="155"/>
      <c r="B735" s="155"/>
      <c r="C735" s="155"/>
      <c r="D735" s="155"/>
      <c r="E735" s="155"/>
      <c r="F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</row>
    <row r="736" customFormat="false" ht="13.5" hidden="false" customHeight="true" outlineLevel="0" collapsed="false">
      <c r="A736" s="155"/>
      <c r="B736" s="155"/>
      <c r="C736" s="155"/>
      <c r="D736" s="155"/>
      <c r="E736" s="155"/>
      <c r="F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</row>
    <row r="737" customFormat="false" ht="13.5" hidden="false" customHeight="true" outlineLevel="0" collapsed="false">
      <c r="A737" s="155"/>
      <c r="B737" s="155"/>
      <c r="C737" s="155"/>
      <c r="D737" s="155"/>
      <c r="E737" s="155"/>
      <c r="F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</row>
    <row r="738" customFormat="false" ht="13.5" hidden="false" customHeight="true" outlineLevel="0" collapsed="false">
      <c r="A738" s="155"/>
      <c r="B738" s="155"/>
      <c r="C738" s="155"/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</row>
    <row r="739" customFormat="false" ht="13.5" hidden="false" customHeight="true" outlineLevel="0" collapsed="false">
      <c r="A739" s="155"/>
      <c r="B739" s="155"/>
      <c r="C739" s="155"/>
      <c r="D739" s="155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</row>
    <row r="740" customFormat="false" ht="13.5" hidden="false" customHeight="true" outlineLevel="0" collapsed="false">
      <c r="A740" s="155"/>
      <c r="B740" s="155"/>
      <c r="C740" s="155"/>
      <c r="D740" s="155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</row>
    <row r="741" customFormat="false" ht="13.5" hidden="false" customHeight="true" outlineLevel="0" collapsed="false">
      <c r="A741" s="155"/>
      <c r="B741" s="155"/>
      <c r="C741" s="155"/>
      <c r="D741" s="155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</row>
    <row r="742" customFormat="false" ht="13.5" hidden="false" customHeight="true" outlineLevel="0" collapsed="false">
      <c r="A742" s="155"/>
      <c r="B742" s="155"/>
      <c r="C742" s="155"/>
      <c r="D742" s="155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</row>
    <row r="743" customFormat="false" ht="13.5" hidden="false" customHeight="true" outlineLevel="0" collapsed="false">
      <c r="A743" s="155"/>
      <c r="B743" s="155"/>
      <c r="C743" s="155"/>
      <c r="D743" s="155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</row>
    <row r="744" customFormat="false" ht="13.5" hidden="false" customHeight="true" outlineLevel="0" collapsed="false">
      <c r="A744" s="155"/>
      <c r="B744" s="155"/>
      <c r="C744" s="155"/>
      <c r="D744" s="155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</row>
    <row r="745" customFormat="false" ht="13.5" hidden="false" customHeight="true" outlineLevel="0" collapsed="false">
      <c r="A745" s="155"/>
      <c r="B745" s="155"/>
      <c r="C745" s="155"/>
      <c r="D745" s="155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</row>
    <row r="746" customFormat="false" ht="13.5" hidden="false" customHeight="true" outlineLevel="0" collapsed="false">
      <c r="A746" s="155"/>
      <c r="B746" s="155"/>
      <c r="C746" s="155"/>
      <c r="D746" s="155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</row>
    <row r="747" customFormat="false" ht="13.5" hidden="false" customHeight="true" outlineLevel="0" collapsed="false">
      <c r="A747" s="155"/>
      <c r="B747" s="155"/>
      <c r="C747" s="155"/>
      <c r="D747" s="155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</row>
    <row r="748" customFormat="false" ht="13.5" hidden="false" customHeight="true" outlineLevel="0" collapsed="false">
      <c r="A748" s="155"/>
      <c r="B748" s="155"/>
      <c r="C748" s="155"/>
      <c r="D748" s="155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</row>
    <row r="749" customFormat="false" ht="13.5" hidden="false" customHeight="true" outlineLevel="0" collapsed="false">
      <c r="A749" s="155"/>
      <c r="B749" s="155"/>
      <c r="C749" s="155"/>
      <c r="D749" s="155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</row>
    <row r="750" customFormat="false" ht="13.5" hidden="false" customHeight="true" outlineLevel="0" collapsed="false">
      <c r="A750" s="155"/>
      <c r="B750" s="155"/>
      <c r="C750" s="155"/>
      <c r="D750" s="155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</row>
    <row r="751" customFormat="false" ht="13.5" hidden="false" customHeight="true" outlineLevel="0" collapsed="false">
      <c r="A751" s="155"/>
      <c r="B751" s="155"/>
      <c r="C751" s="155"/>
      <c r="D751" s="155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</row>
    <row r="752" customFormat="false" ht="13.5" hidden="false" customHeight="true" outlineLevel="0" collapsed="false">
      <c r="A752" s="155"/>
      <c r="B752" s="155"/>
      <c r="C752" s="155"/>
      <c r="D752" s="155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</row>
    <row r="753" customFormat="false" ht="13.5" hidden="false" customHeight="true" outlineLevel="0" collapsed="false">
      <c r="A753" s="155"/>
      <c r="B753" s="155"/>
      <c r="C753" s="155"/>
      <c r="D753" s="155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</row>
    <row r="754" customFormat="false" ht="13.5" hidden="false" customHeight="true" outlineLevel="0" collapsed="false">
      <c r="A754" s="155"/>
      <c r="B754" s="155"/>
      <c r="C754" s="155"/>
      <c r="D754" s="155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</row>
    <row r="755" customFormat="false" ht="13.5" hidden="false" customHeight="true" outlineLevel="0" collapsed="false">
      <c r="A755" s="155"/>
      <c r="B755" s="155"/>
      <c r="C755" s="155"/>
      <c r="D755" s="155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</row>
    <row r="756" customFormat="false" ht="13.5" hidden="false" customHeight="true" outlineLevel="0" collapsed="false">
      <c r="A756" s="155"/>
      <c r="B756" s="155"/>
      <c r="C756" s="155"/>
      <c r="D756" s="155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</row>
    <row r="757" customFormat="false" ht="13.5" hidden="false" customHeight="true" outlineLevel="0" collapsed="false">
      <c r="A757" s="155"/>
      <c r="B757" s="155"/>
      <c r="C757" s="155"/>
      <c r="D757" s="155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</row>
    <row r="758" customFormat="false" ht="13.5" hidden="false" customHeight="true" outlineLevel="0" collapsed="false">
      <c r="A758" s="155"/>
      <c r="B758" s="155"/>
      <c r="C758" s="155"/>
      <c r="D758" s="155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</row>
    <row r="759" customFormat="false" ht="13.5" hidden="false" customHeight="true" outlineLevel="0" collapsed="false">
      <c r="A759" s="155"/>
      <c r="B759" s="155"/>
      <c r="C759" s="155"/>
      <c r="D759" s="155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</row>
    <row r="760" customFormat="false" ht="13.5" hidden="false" customHeight="true" outlineLevel="0" collapsed="false">
      <c r="A760" s="155"/>
      <c r="B760" s="155"/>
      <c r="C760" s="155"/>
      <c r="D760" s="155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</row>
    <row r="761" customFormat="false" ht="13.5" hidden="false" customHeight="true" outlineLevel="0" collapsed="false">
      <c r="A761" s="155"/>
      <c r="B761" s="155"/>
      <c r="C761" s="155"/>
      <c r="D761" s="155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</row>
    <row r="762" customFormat="false" ht="13.5" hidden="false" customHeight="true" outlineLevel="0" collapsed="false">
      <c r="A762" s="155"/>
      <c r="B762" s="155"/>
      <c r="C762" s="155"/>
      <c r="D762" s="155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</row>
    <row r="763" customFormat="false" ht="13.5" hidden="false" customHeight="true" outlineLevel="0" collapsed="false">
      <c r="A763" s="155"/>
      <c r="B763" s="155"/>
      <c r="C763" s="155"/>
      <c r="D763" s="155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</row>
    <row r="764" customFormat="false" ht="13.5" hidden="false" customHeight="true" outlineLevel="0" collapsed="false">
      <c r="A764" s="155"/>
      <c r="B764" s="155"/>
      <c r="C764" s="155"/>
      <c r="D764" s="155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</row>
    <row r="765" customFormat="false" ht="13.5" hidden="false" customHeight="true" outlineLevel="0" collapsed="false">
      <c r="A765" s="155"/>
      <c r="B765" s="155"/>
      <c r="C765" s="155"/>
      <c r="D765" s="155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</row>
    <row r="766" customFormat="false" ht="13.5" hidden="false" customHeight="true" outlineLevel="0" collapsed="false">
      <c r="A766" s="155"/>
      <c r="B766" s="155"/>
      <c r="C766" s="155"/>
      <c r="D766" s="155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</row>
    <row r="767" customFormat="false" ht="13.5" hidden="false" customHeight="true" outlineLevel="0" collapsed="false">
      <c r="A767" s="155"/>
      <c r="B767" s="155"/>
      <c r="C767" s="155"/>
      <c r="D767" s="155"/>
      <c r="E767" s="155"/>
      <c r="F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</row>
    <row r="768" customFormat="false" ht="13.5" hidden="false" customHeight="true" outlineLevel="0" collapsed="false">
      <c r="A768" s="155"/>
      <c r="B768" s="155"/>
      <c r="C768" s="155"/>
      <c r="D768" s="155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</row>
    <row r="769" customFormat="false" ht="13.5" hidden="false" customHeight="true" outlineLevel="0" collapsed="false">
      <c r="A769" s="155"/>
      <c r="B769" s="155"/>
      <c r="C769" s="155"/>
      <c r="D769" s="155"/>
      <c r="E769" s="155"/>
      <c r="F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</row>
    <row r="770" customFormat="false" ht="13.5" hidden="false" customHeight="true" outlineLevel="0" collapsed="false">
      <c r="A770" s="155"/>
      <c r="B770" s="155"/>
      <c r="C770" s="155"/>
      <c r="D770" s="155"/>
      <c r="E770" s="155"/>
      <c r="F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</row>
    <row r="771" customFormat="false" ht="13.5" hidden="false" customHeight="true" outlineLevel="0" collapsed="false">
      <c r="A771" s="155"/>
      <c r="B771" s="155"/>
      <c r="C771" s="155"/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</row>
    <row r="772" customFormat="false" ht="13.5" hidden="false" customHeight="true" outlineLevel="0" collapsed="false">
      <c r="A772" s="155"/>
      <c r="B772" s="155"/>
      <c r="C772" s="155"/>
      <c r="D772" s="155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</row>
    <row r="773" customFormat="false" ht="13.5" hidden="false" customHeight="true" outlineLevel="0" collapsed="false">
      <c r="A773" s="155"/>
      <c r="B773" s="155"/>
      <c r="C773" s="155"/>
      <c r="D773" s="155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</row>
    <row r="774" customFormat="false" ht="13.5" hidden="false" customHeight="true" outlineLevel="0" collapsed="false">
      <c r="A774" s="155"/>
      <c r="B774" s="155"/>
      <c r="C774" s="155"/>
      <c r="D774" s="155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</row>
    <row r="775" customFormat="false" ht="13.5" hidden="false" customHeight="true" outlineLevel="0" collapsed="false">
      <c r="A775" s="155"/>
      <c r="B775" s="155"/>
      <c r="C775" s="155"/>
      <c r="D775" s="155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</row>
    <row r="776" customFormat="false" ht="13.5" hidden="false" customHeight="true" outlineLevel="0" collapsed="false">
      <c r="A776" s="155"/>
      <c r="B776" s="155"/>
      <c r="C776" s="155"/>
      <c r="D776" s="155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</row>
    <row r="777" customFormat="false" ht="13.5" hidden="false" customHeight="true" outlineLevel="0" collapsed="false">
      <c r="A777" s="155"/>
      <c r="B777" s="155"/>
      <c r="C777" s="155"/>
      <c r="D777" s="155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</row>
    <row r="778" customFormat="false" ht="13.5" hidden="false" customHeight="true" outlineLevel="0" collapsed="false">
      <c r="A778" s="155"/>
      <c r="B778" s="155"/>
      <c r="C778" s="155"/>
      <c r="D778" s="155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</row>
    <row r="779" customFormat="false" ht="13.5" hidden="false" customHeight="true" outlineLevel="0" collapsed="false">
      <c r="A779" s="155"/>
      <c r="B779" s="155"/>
      <c r="C779" s="155"/>
      <c r="D779" s="155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</row>
    <row r="780" customFormat="false" ht="13.5" hidden="false" customHeight="true" outlineLevel="0" collapsed="false">
      <c r="A780" s="155"/>
      <c r="B780" s="155"/>
      <c r="C780" s="155"/>
      <c r="D780" s="155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</row>
    <row r="781" customFormat="false" ht="13.5" hidden="false" customHeight="true" outlineLevel="0" collapsed="false">
      <c r="A781" s="155"/>
      <c r="B781" s="155"/>
      <c r="C781" s="155"/>
      <c r="D781" s="155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</row>
    <row r="782" customFormat="false" ht="13.5" hidden="false" customHeight="true" outlineLevel="0" collapsed="false">
      <c r="A782" s="155"/>
      <c r="B782" s="155"/>
      <c r="C782" s="155"/>
      <c r="D782" s="155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</row>
    <row r="783" customFormat="false" ht="13.5" hidden="false" customHeight="true" outlineLevel="0" collapsed="false">
      <c r="A783" s="155"/>
      <c r="B783" s="155"/>
      <c r="C783" s="155"/>
      <c r="D783" s="155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</row>
    <row r="784" customFormat="false" ht="13.5" hidden="false" customHeight="true" outlineLevel="0" collapsed="false">
      <c r="A784" s="155"/>
      <c r="B784" s="155"/>
      <c r="C784" s="155"/>
      <c r="D784" s="155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</row>
    <row r="785" customFormat="false" ht="13.5" hidden="false" customHeight="true" outlineLevel="0" collapsed="false">
      <c r="A785" s="155"/>
      <c r="B785" s="155"/>
      <c r="C785" s="155"/>
      <c r="D785" s="155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</row>
    <row r="786" customFormat="false" ht="13.5" hidden="false" customHeight="true" outlineLevel="0" collapsed="false">
      <c r="A786" s="155"/>
      <c r="B786" s="155"/>
      <c r="C786" s="155"/>
      <c r="D786" s="155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</row>
    <row r="787" customFormat="false" ht="13.5" hidden="false" customHeight="true" outlineLevel="0" collapsed="false">
      <c r="A787" s="155"/>
      <c r="B787" s="155"/>
      <c r="C787" s="155"/>
      <c r="D787" s="155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</row>
    <row r="788" customFormat="false" ht="13.5" hidden="false" customHeight="true" outlineLevel="0" collapsed="false">
      <c r="A788" s="155"/>
      <c r="B788" s="155"/>
      <c r="C788" s="155"/>
      <c r="D788" s="155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</row>
    <row r="789" customFormat="false" ht="13.5" hidden="false" customHeight="true" outlineLevel="0" collapsed="false">
      <c r="A789" s="155"/>
      <c r="B789" s="155"/>
      <c r="C789" s="155"/>
      <c r="D789" s="155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</row>
    <row r="790" customFormat="false" ht="13.5" hidden="false" customHeight="true" outlineLevel="0" collapsed="false">
      <c r="A790" s="155"/>
      <c r="B790" s="155"/>
      <c r="C790" s="155"/>
      <c r="D790" s="155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</row>
    <row r="791" customFormat="false" ht="13.5" hidden="false" customHeight="true" outlineLevel="0" collapsed="false">
      <c r="A791" s="155"/>
      <c r="B791" s="155"/>
      <c r="C791" s="155"/>
      <c r="D791" s="155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</row>
    <row r="792" customFormat="false" ht="13.5" hidden="false" customHeight="true" outlineLevel="0" collapsed="false">
      <c r="A792" s="155"/>
      <c r="B792" s="155"/>
      <c r="C792" s="155"/>
      <c r="D792" s="155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</row>
    <row r="793" customFormat="false" ht="13.5" hidden="false" customHeight="true" outlineLevel="0" collapsed="false">
      <c r="A793" s="155"/>
      <c r="B793" s="155"/>
      <c r="C793" s="155"/>
      <c r="D793" s="155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</row>
    <row r="794" customFormat="false" ht="13.5" hidden="false" customHeight="true" outlineLevel="0" collapsed="false">
      <c r="A794" s="155"/>
      <c r="B794" s="155"/>
      <c r="C794" s="155"/>
      <c r="D794" s="155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</row>
    <row r="795" customFormat="false" ht="13.5" hidden="false" customHeight="true" outlineLevel="0" collapsed="false">
      <c r="A795" s="155"/>
      <c r="B795" s="155"/>
      <c r="C795" s="155"/>
      <c r="D795" s="155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</row>
    <row r="796" customFormat="false" ht="13.5" hidden="false" customHeight="true" outlineLevel="0" collapsed="false">
      <c r="A796" s="155"/>
      <c r="B796" s="155"/>
      <c r="C796" s="155"/>
      <c r="D796" s="155"/>
      <c r="E796" s="155"/>
      <c r="F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</row>
    <row r="797" customFormat="false" ht="13.5" hidden="false" customHeight="true" outlineLevel="0" collapsed="false">
      <c r="A797" s="155"/>
      <c r="B797" s="155"/>
      <c r="C797" s="155"/>
      <c r="D797" s="155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</row>
    <row r="798" customFormat="false" ht="13.5" hidden="false" customHeight="true" outlineLevel="0" collapsed="false">
      <c r="A798" s="155"/>
      <c r="B798" s="155"/>
      <c r="C798" s="155"/>
      <c r="D798" s="155"/>
      <c r="E798" s="155"/>
      <c r="F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</row>
    <row r="799" customFormat="false" ht="13.5" hidden="false" customHeight="true" outlineLevel="0" collapsed="false">
      <c r="A799" s="155"/>
      <c r="B799" s="155"/>
      <c r="C799" s="155"/>
      <c r="D799" s="155"/>
      <c r="E799" s="155"/>
      <c r="F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</row>
    <row r="800" customFormat="false" ht="13.5" hidden="false" customHeight="true" outlineLevel="0" collapsed="false">
      <c r="A800" s="155"/>
      <c r="B800" s="155"/>
      <c r="C800" s="155"/>
      <c r="D800" s="155"/>
      <c r="E800" s="155"/>
      <c r="F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</row>
    <row r="801" customFormat="false" ht="13.5" hidden="false" customHeight="true" outlineLevel="0" collapsed="false">
      <c r="A801" s="155"/>
      <c r="B801" s="155"/>
      <c r="C801" s="155"/>
      <c r="D801" s="155"/>
      <c r="E801" s="155"/>
      <c r="F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</row>
    <row r="802" customFormat="false" ht="13.5" hidden="false" customHeight="true" outlineLevel="0" collapsed="false">
      <c r="A802" s="155"/>
      <c r="B802" s="155"/>
      <c r="C802" s="155"/>
      <c r="D802" s="155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</row>
    <row r="803" customFormat="false" ht="13.5" hidden="false" customHeight="true" outlineLevel="0" collapsed="false">
      <c r="A803" s="155"/>
      <c r="B803" s="155"/>
      <c r="C803" s="155"/>
      <c r="D803" s="155"/>
      <c r="E803" s="155"/>
      <c r="F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</row>
    <row r="804" customFormat="false" ht="13.5" hidden="false" customHeight="true" outlineLevel="0" collapsed="false">
      <c r="A804" s="155"/>
      <c r="B804" s="155"/>
      <c r="C804" s="155"/>
      <c r="D804" s="155"/>
      <c r="E804" s="155"/>
      <c r="F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</row>
    <row r="805" customFormat="false" ht="13.5" hidden="false" customHeight="true" outlineLevel="0" collapsed="false">
      <c r="A805" s="155"/>
      <c r="B805" s="155"/>
      <c r="C805" s="155"/>
      <c r="D805" s="155"/>
      <c r="E805" s="155"/>
      <c r="F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</row>
    <row r="806" customFormat="false" ht="13.5" hidden="false" customHeight="true" outlineLevel="0" collapsed="false">
      <c r="A806" s="155"/>
      <c r="B806" s="155"/>
      <c r="C806" s="155"/>
      <c r="D806" s="155"/>
      <c r="E806" s="155"/>
      <c r="F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</row>
    <row r="807" customFormat="false" ht="13.5" hidden="false" customHeight="true" outlineLevel="0" collapsed="false">
      <c r="A807" s="155"/>
      <c r="B807" s="155"/>
      <c r="C807" s="155"/>
      <c r="D807" s="155"/>
      <c r="E807" s="155"/>
      <c r="F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</row>
    <row r="808" customFormat="false" ht="13.5" hidden="false" customHeight="true" outlineLevel="0" collapsed="false">
      <c r="A808" s="155"/>
      <c r="B808" s="155"/>
      <c r="C808" s="155"/>
      <c r="D808" s="155"/>
      <c r="E808" s="155"/>
      <c r="F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</row>
    <row r="809" customFormat="false" ht="13.5" hidden="false" customHeight="true" outlineLevel="0" collapsed="false">
      <c r="A809" s="155"/>
      <c r="B809" s="155"/>
      <c r="C809" s="155"/>
      <c r="D809" s="155"/>
      <c r="E809" s="155"/>
      <c r="F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</row>
    <row r="810" customFormat="false" ht="13.5" hidden="false" customHeight="true" outlineLevel="0" collapsed="false">
      <c r="A810" s="155"/>
      <c r="B810" s="155"/>
      <c r="C810" s="155"/>
      <c r="D810" s="155"/>
      <c r="E810" s="155"/>
      <c r="F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</row>
    <row r="811" customFormat="false" ht="13.5" hidden="false" customHeight="true" outlineLevel="0" collapsed="false">
      <c r="A811" s="155"/>
      <c r="B811" s="155"/>
      <c r="C811" s="155"/>
      <c r="D811" s="155"/>
      <c r="E811" s="155"/>
      <c r="F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</row>
    <row r="812" customFormat="false" ht="13.5" hidden="false" customHeight="true" outlineLevel="0" collapsed="false">
      <c r="A812" s="155"/>
      <c r="B812" s="155"/>
      <c r="C812" s="155"/>
      <c r="D812" s="155"/>
      <c r="E812" s="155"/>
      <c r="F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</row>
    <row r="813" customFormat="false" ht="13.5" hidden="false" customHeight="true" outlineLevel="0" collapsed="false">
      <c r="A813" s="155"/>
      <c r="B813" s="155"/>
      <c r="C813" s="155"/>
      <c r="D813" s="155"/>
      <c r="E813" s="155"/>
      <c r="F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</row>
    <row r="814" customFormat="false" ht="13.5" hidden="false" customHeight="true" outlineLevel="0" collapsed="false">
      <c r="A814" s="155"/>
      <c r="B814" s="155"/>
      <c r="C814" s="155"/>
      <c r="D814" s="155"/>
      <c r="E814" s="155"/>
      <c r="F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</row>
    <row r="815" customFormat="false" ht="13.5" hidden="false" customHeight="true" outlineLevel="0" collapsed="false">
      <c r="A815" s="155"/>
      <c r="B815" s="155"/>
      <c r="C815" s="155"/>
      <c r="D815" s="155"/>
      <c r="E815" s="155"/>
      <c r="F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</row>
    <row r="816" customFormat="false" ht="13.5" hidden="false" customHeight="true" outlineLevel="0" collapsed="false">
      <c r="A816" s="155"/>
      <c r="B816" s="155"/>
      <c r="C816" s="155"/>
      <c r="D816" s="155"/>
      <c r="E816" s="155"/>
      <c r="F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</row>
    <row r="817" customFormat="false" ht="13.5" hidden="false" customHeight="true" outlineLevel="0" collapsed="false">
      <c r="A817" s="155"/>
      <c r="B817" s="155"/>
      <c r="C817" s="155"/>
      <c r="D817" s="155"/>
      <c r="E817" s="155"/>
      <c r="F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</row>
    <row r="818" customFormat="false" ht="13.5" hidden="false" customHeight="true" outlineLevel="0" collapsed="false">
      <c r="A818" s="155"/>
      <c r="B818" s="155"/>
      <c r="C818" s="155"/>
      <c r="D818" s="155"/>
      <c r="E818" s="155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</row>
    <row r="819" customFormat="false" ht="13.5" hidden="false" customHeight="true" outlineLevel="0" collapsed="false">
      <c r="A819" s="155"/>
      <c r="B819" s="155"/>
      <c r="C819" s="155"/>
      <c r="D819" s="155"/>
      <c r="E819" s="155"/>
      <c r="F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</row>
    <row r="820" customFormat="false" ht="13.5" hidden="false" customHeight="true" outlineLevel="0" collapsed="false">
      <c r="A820" s="155"/>
      <c r="B820" s="155"/>
      <c r="C820" s="155"/>
      <c r="D820" s="155"/>
      <c r="E820" s="155"/>
      <c r="F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</row>
    <row r="821" customFormat="false" ht="13.5" hidden="false" customHeight="true" outlineLevel="0" collapsed="false">
      <c r="A821" s="155"/>
      <c r="B821" s="155"/>
      <c r="C821" s="155"/>
      <c r="D821" s="155"/>
      <c r="E821" s="155"/>
      <c r="F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</row>
    <row r="822" customFormat="false" ht="13.5" hidden="false" customHeight="true" outlineLevel="0" collapsed="false">
      <c r="A822" s="155"/>
      <c r="B822" s="155"/>
      <c r="C822" s="155"/>
      <c r="D822" s="155"/>
      <c r="E822" s="155"/>
      <c r="F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</row>
    <row r="823" customFormat="false" ht="13.5" hidden="false" customHeight="true" outlineLevel="0" collapsed="false">
      <c r="A823" s="155"/>
      <c r="B823" s="155"/>
      <c r="C823" s="155"/>
      <c r="D823" s="155"/>
      <c r="E823" s="155"/>
      <c r="F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</row>
    <row r="824" customFormat="false" ht="13.5" hidden="false" customHeight="true" outlineLevel="0" collapsed="false">
      <c r="A824" s="155"/>
      <c r="B824" s="155"/>
      <c r="C824" s="155"/>
      <c r="D824" s="155"/>
      <c r="E824" s="155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</row>
    <row r="825" customFormat="false" ht="13.5" hidden="false" customHeight="true" outlineLevel="0" collapsed="false">
      <c r="A825" s="155"/>
      <c r="B825" s="155"/>
      <c r="C825" s="155"/>
      <c r="D825" s="155"/>
      <c r="E825" s="155"/>
      <c r="F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</row>
    <row r="826" customFormat="false" ht="13.5" hidden="false" customHeight="true" outlineLevel="0" collapsed="false">
      <c r="A826" s="155"/>
      <c r="B826" s="155"/>
      <c r="C826" s="155"/>
      <c r="D826" s="155"/>
      <c r="E826" s="155"/>
      <c r="F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</row>
    <row r="827" customFormat="false" ht="13.5" hidden="false" customHeight="true" outlineLevel="0" collapsed="false">
      <c r="A827" s="155"/>
      <c r="B827" s="155"/>
      <c r="C827" s="155"/>
      <c r="D827" s="155"/>
      <c r="E827" s="155"/>
      <c r="F827" s="155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</row>
    <row r="828" customFormat="false" ht="13.5" hidden="false" customHeight="true" outlineLevel="0" collapsed="false">
      <c r="A828" s="155"/>
      <c r="B828" s="155"/>
      <c r="C828" s="155"/>
      <c r="D828" s="155"/>
      <c r="E828" s="155"/>
      <c r="F828" s="155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</row>
    <row r="829" customFormat="false" ht="13.5" hidden="false" customHeight="true" outlineLevel="0" collapsed="false">
      <c r="A829" s="155"/>
      <c r="B829" s="155"/>
      <c r="C829" s="155"/>
      <c r="D829" s="155"/>
      <c r="E829" s="155"/>
      <c r="F829" s="155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</row>
    <row r="830" customFormat="false" ht="13.5" hidden="false" customHeight="true" outlineLevel="0" collapsed="false">
      <c r="A830" s="155"/>
      <c r="B830" s="155"/>
      <c r="C830" s="155"/>
      <c r="D830" s="155"/>
      <c r="E830" s="155"/>
      <c r="F830" s="155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</row>
    <row r="831" customFormat="false" ht="13.5" hidden="false" customHeight="true" outlineLevel="0" collapsed="false">
      <c r="A831" s="155"/>
      <c r="B831" s="155"/>
      <c r="C831" s="155"/>
      <c r="D831" s="155"/>
      <c r="E831" s="155"/>
      <c r="F831" s="155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</row>
    <row r="832" customFormat="false" ht="13.5" hidden="false" customHeight="true" outlineLevel="0" collapsed="false">
      <c r="A832" s="155"/>
      <c r="B832" s="155"/>
      <c r="C832" s="155"/>
      <c r="D832" s="155"/>
      <c r="E832" s="155"/>
      <c r="F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</row>
    <row r="833" customFormat="false" ht="13.5" hidden="false" customHeight="true" outlineLevel="0" collapsed="false">
      <c r="A833" s="155"/>
      <c r="B833" s="155"/>
      <c r="C833" s="155"/>
      <c r="D833" s="155"/>
      <c r="E833" s="155"/>
      <c r="F833" s="155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</row>
    <row r="834" customFormat="false" ht="13.5" hidden="false" customHeight="true" outlineLevel="0" collapsed="false">
      <c r="A834" s="155"/>
      <c r="B834" s="155"/>
      <c r="C834" s="155"/>
      <c r="D834" s="155"/>
      <c r="E834" s="155"/>
      <c r="F834" s="155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</row>
    <row r="835" customFormat="false" ht="13.5" hidden="false" customHeight="true" outlineLevel="0" collapsed="false">
      <c r="A835" s="155"/>
      <c r="B835" s="155"/>
      <c r="C835" s="155"/>
      <c r="D835" s="155"/>
      <c r="E835" s="155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</row>
    <row r="836" customFormat="false" ht="13.5" hidden="false" customHeight="true" outlineLevel="0" collapsed="false">
      <c r="A836" s="155"/>
      <c r="B836" s="155"/>
      <c r="C836" s="155"/>
      <c r="D836" s="155"/>
      <c r="E836" s="155"/>
      <c r="F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</row>
    <row r="837" customFormat="false" ht="13.5" hidden="false" customHeight="true" outlineLevel="0" collapsed="false">
      <c r="A837" s="155"/>
      <c r="B837" s="155"/>
      <c r="C837" s="155"/>
      <c r="D837" s="155"/>
      <c r="E837" s="155"/>
      <c r="F837" s="155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</row>
    <row r="838" customFormat="false" ht="13.5" hidden="false" customHeight="true" outlineLevel="0" collapsed="false">
      <c r="A838" s="155"/>
      <c r="B838" s="155"/>
      <c r="C838" s="155"/>
      <c r="D838" s="155"/>
      <c r="E838" s="155"/>
      <c r="F838" s="155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</row>
    <row r="839" customFormat="false" ht="13.5" hidden="false" customHeight="true" outlineLevel="0" collapsed="false">
      <c r="A839" s="155"/>
      <c r="B839" s="155"/>
      <c r="C839" s="155"/>
      <c r="D839" s="155"/>
      <c r="E839" s="155"/>
      <c r="F839" s="155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</row>
    <row r="840" customFormat="false" ht="13.5" hidden="false" customHeight="true" outlineLevel="0" collapsed="false">
      <c r="A840" s="155"/>
      <c r="B840" s="155"/>
      <c r="C840" s="155"/>
      <c r="D840" s="155"/>
      <c r="E840" s="155"/>
      <c r="F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</row>
    <row r="841" customFormat="false" ht="13.5" hidden="false" customHeight="true" outlineLevel="0" collapsed="false">
      <c r="A841" s="155"/>
      <c r="B841" s="155"/>
      <c r="C841" s="155"/>
      <c r="D841" s="155"/>
      <c r="E841" s="155"/>
      <c r="F841" s="155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</row>
    <row r="842" customFormat="false" ht="13.5" hidden="false" customHeight="true" outlineLevel="0" collapsed="false">
      <c r="A842" s="155"/>
      <c r="B842" s="155"/>
      <c r="C842" s="155"/>
      <c r="D842" s="155"/>
      <c r="E842" s="155"/>
      <c r="F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</row>
    <row r="843" customFormat="false" ht="13.5" hidden="false" customHeight="true" outlineLevel="0" collapsed="false">
      <c r="A843" s="155"/>
      <c r="B843" s="155"/>
      <c r="C843" s="155"/>
      <c r="D843" s="155"/>
      <c r="E843" s="155"/>
      <c r="F843" s="155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</row>
    <row r="844" customFormat="false" ht="13.5" hidden="false" customHeight="true" outlineLevel="0" collapsed="false">
      <c r="A844" s="155"/>
      <c r="B844" s="155"/>
      <c r="C844" s="155"/>
      <c r="D844" s="155"/>
      <c r="E844" s="155"/>
      <c r="F844" s="155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</row>
    <row r="845" customFormat="false" ht="13.5" hidden="false" customHeight="true" outlineLevel="0" collapsed="false">
      <c r="A845" s="155"/>
      <c r="B845" s="155"/>
      <c r="C845" s="155"/>
      <c r="D845" s="155"/>
      <c r="E845" s="155"/>
      <c r="F845" s="155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</row>
    <row r="846" customFormat="false" ht="13.5" hidden="false" customHeight="true" outlineLevel="0" collapsed="false">
      <c r="A846" s="155"/>
      <c r="B846" s="155"/>
      <c r="C846" s="155"/>
      <c r="D846" s="155"/>
      <c r="E846" s="155"/>
      <c r="F846" s="155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</row>
    <row r="847" customFormat="false" ht="13.5" hidden="false" customHeight="true" outlineLevel="0" collapsed="false">
      <c r="A847" s="155"/>
      <c r="B847" s="155"/>
      <c r="C847" s="155"/>
      <c r="D847" s="155"/>
      <c r="E847" s="155"/>
      <c r="F847" s="155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</row>
    <row r="848" customFormat="false" ht="13.5" hidden="false" customHeight="true" outlineLevel="0" collapsed="false">
      <c r="A848" s="155"/>
      <c r="B848" s="155"/>
      <c r="C848" s="155"/>
      <c r="D848" s="155"/>
      <c r="E848" s="155"/>
      <c r="F848" s="155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</row>
    <row r="849" customFormat="false" ht="13.5" hidden="false" customHeight="true" outlineLevel="0" collapsed="false">
      <c r="A849" s="155"/>
      <c r="B849" s="155"/>
      <c r="C849" s="155"/>
      <c r="D849" s="155"/>
      <c r="E849" s="155"/>
      <c r="F849" s="155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</row>
    <row r="850" customFormat="false" ht="13.5" hidden="false" customHeight="true" outlineLevel="0" collapsed="false">
      <c r="A850" s="155"/>
      <c r="B850" s="155"/>
      <c r="C850" s="155"/>
      <c r="D850" s="155"/>
      <c r="E850" s="155"/>
      <c r="F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</row>
    <row r="851" customFormat="false" ht="13.5" hidden="false" customHeight="true" outlineLevel="0" collapsed="false">
      <c r="A851" s="155"/>
      <c r="B851" s="155"/>
      <c r="C851" s="155"/>
      <c r="D851" s="155"/>
      <c r="E851" s="155"/>
      <c r="F851" s="155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</row>
    <row r="852" customFormat="false" ht="13.5" hidden="false" customHeight="true" outlineLevel="0" collapsed="false">
      <c r="A852" s="155"/>
      <c r="B852" s="155"/>
      <c r="C852" s="155"/>
      <c r="D852" s="155"/>
      <c r="E852" s="155"/>
      <c r="F852" s="155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</row>
    <row r="853" customFormat="false" ht="13.5" hidden="false" customHeight="true" outlineLevel="0" collapsed="false">
      <c r="A853" s="155"/>
      <c r="B853" s="155"/>
      <c r="C853" s="155"/>
      <c r="D853" s="155"/>
      <c r="E853" s="155"/>
      <c r="F853" s="155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</row>
    <row r="854" customFormat="false" ht="13.5" hidden="false" customHeight="true" outlineLevel="0" collapsed="false">
      <c r="A854" s="155"/>
      <c r="B854" s="155"/>
      <c r="C854" s="155"/>
      <c r="D854" s="155"/>
      <c r="E854" s="155"/>
      <c r="F854" s="155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</row>
    <row r="855" customFormat="false" ht="13.5" hidden="false" customHeight="true" outlineLevel="0" collapsed="false">
      <c r="A855" s="155"/>
      <c r="B855" s="155"/>
      <c r="C855" s="155"/>
      <c r="D855" s="155"/>
      <c r="E855" s="155"/>
      <c r="F855" s="155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</row>
    <row r="856" customFormat="false" ht="13.5" hidden="false" customHeight="true" outlineLevel="0" collapsed="false">
      <c r="A856" s="155"/>
      <c r="B856" s="155"/>
      <c r="C856" s="155"/>
      <c r="D856" s="155"/>
      <c r="E856" s="155"/>
      <c r="F856" s="155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</row>
    <row r="857" customFormat="false" ht="13.5" hidden="false" customHeight="true" outlineLevel="0" collapsed="false">
      <c r="A857" s="155"/>
      <c r="B857" s="155"/>
      <c r="C857" s="155"/>
      <c r="D857" s="155"/>
      <c r="E857" s="155"/>
      <c r="F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</row>
    <row r="858" customFormat="false" ht="13.5" hidden="false" customHeight="true" outlineLevel="0" collapsed="false">
      <c r="A858" s="155"/>
      <c r="B858" s="155"/>
      <c r="C858" s="155"/>
      <c r="D858" s="155"/>
      <c r="E858" s="155"/>
      <c r="F858" s="155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</row>
    <row r="859" customFormat="false" ht="13.5" hidden="false" customHeight="true" outlineLevel="0" collapsed="false">
      <c r="A859" s="155"/>
      <c r="B859" s="155"/>
      <c r="C859" s="155"/>
      <c r="D859" s="155"/>
      <c r="E859" s="155"/>
      <c r="F859" s="155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</row>
    <row r="860" customFormat="false" ht="13.5" hidden="false" customHeight="true" outlineLevel="0" collapsed="false">
      <c r="A860" s="155"/>
      <c r="B860" s="155"/>
      <c r="C860" s="155"/>
      <c r="D860" s="155"/>
      <c r="E860" s="155"/>
      <c r="F860" s="155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</row>
    <row r="861" customFormat="false" ht="13.5" hidden="false" customHeight="true" outlineLevel="0" collapsed="false">
      <c r="A861" s="155"/>
      <c r="B861" s="155"/>
      <c r="C861" s="155"/>
      <c r="D861" s="155"/>
      <c r="E861" s="155"/>
      <c r="F861" s="155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</row>
    <row r="862" customFormat="false" ht="13.5" hidden="false" customHeight="true" outlineLevel="0" collapsed="false">
      <c r="A862" s="155"/>
      <c r="B862" s="155"/>
      <c r="C862" s="155"/>
      <c r="D862" s="155"/>
      <c r="E862" s="155"/>
      <c r="F862" s="155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</row>
    <row r="863" customFormat="false" ht="13.5" hidden="false" customHeight="true" outlineLevel="0" collapsed="false">
      <c r="A863" s="155"/>
      <c r="B863" s="155"/>
      <c r="C863" s="155"/>
      <c r="D863" s="155"/>
      <c r="E863" s="155"/>
      <c r="F863" s="155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</row>
    <row r="864" customFormat="false" ht="13.5" hidden="false" customHeight="true" outlineLevel="0" collapsed="false">
      <c r="A864" s="155"/>
      <c r="B864" s="155"/>
      <c r="C864" s="155"/>
      <c r="D864" s="155"/>
      <c r="E864" s="155"/>
      <c r="F864" s="155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</row>
    <row r="865" customFormat="false" ht="13.5" hidden="false" customHeight="true" outlineLevel="0" collapsed="false">
      <c r="A865" s="155"/>
      <c r="B865" s="155"/>
      <c r="C865" s="155"/>
      <c r="D865" s="155"/>
      <c r="E865" s="155"/>
      <c r="F865" s="155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</row>
    <row r="866" customFormat="false" ht="13.5" hidden="false" customHeight="true" outlineLevel="0" collapsed="false">
      <c r="A866" s="155"/>
      <c r="B866" s="155"/>
      <c r="C866" s="155"/>
      <c r="D866" s="155"/>
      <c r="E866" s="155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</row>
    <row r="867" customFormat="false" ht="13.5" hidden="false" customHeight="true" outlineLevel="0" collapsed="false">
      <c r="A867" s="155"/>
      <c r="B867" s="155"/>
      <c r="C867" s="155"/>
      <c r="D867" s="155"/>
      <c r="E867" s="155"/>
      <c r="F867" s="155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</row>
    <row r="868" customFormat="false" ht="13.5" hidden="false" customHeight="true" outlineLevel="0" collapsed="false">
      <c r="A868" s="155"/>
      <c r="B868" s="155"/>
      <c r="C868" s="155"/>
      <c r="D868" s="155"/>
      <c r="E868" s="155"/>
      <c r="F868" s="155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</row>
    <row r="869" customFormat="false" ht="13.5" hidden="false" customHeight="true" outlineLevel="0" collapsed="false">
      <c r="A869" s="155"/>
      <c r="B869" s="155"/>
      <c r="C869" s="155"/>
      <c r="D869" s="155"/>
      <c r="E869" s="155"/>
      <c r="F869" s="155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</row>
    <row r="870" customFormat="false" ht="13.5" hidden="false" customHeight="true" outlineLevel="0" collapsed="false">
      <c r="A870" s="155"/>
      <c r="B870" s="155"/>
      <c r="C870" s="155"/>
      <c r="D870" s="155"/>
      <c r="E870" s="155"/>
      <c r="F870" s="155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</row>
    <row r="871" customFormat="false" ht="13.5" hidden="false" customHeight="true" outlineLevel="0" collapsed="false">
      <c r="A871" s="155"/>
      <c r="B871" s="155"/>
      <c r="C871" s="155"/>
      <c r="D871" s="155"/>
      <c r="E871" s="155"/>
      <c r="F871" s="155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</row>
    <row r="872" customFormat="false" ht="13.5" hidden="false" customHeight="true" outlineLevel="0" collapsed="false">
      <c r="A872" s="155"/>
      <c r="B872" s="155"/>
      <c r="C872" s="155"/>
      <c r="D872" s="155"/>
      <c r="E872" s="155"/>
      <c r="F872" s="155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</row>
    <row r="873" customFormat="false" ht="13.5" hidden="false" customHeight="true" outlineLevel="0" collapsed="false">
      <c r="A873" s="155"/>
      <c r="B873" s="155"/>
      <c r="C873" s="155"/>
      <c r="D873" s="155"/>
      <c r="E873" s="155"/>
      <c r="F873" s="155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</row>
    <row r="874" customFormat="false" ht="13.5" hidden="false" customHeight="true" outlineLevel="0" collapsed="false">
      <c r="A874" s="155"/>
      <c r="B874" s="155"/>
      <c r="C874" s="155"/>
      <c r="D874" s="155"/>
      <c r="E874" s="155"/>
      <c r="F874" s="155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</row>
    <row r="875" customFormat="false" ht="13.5" hidden="false" customHeight="true" outlineLevel="0" collapsed="false">
      <c r="A875" s="155"/>
      <c r="B875" s="155"/>
      <c r="C875" s="155"/>
      <c r="D875" s="155"/>
      <c r="E875" s="155"/>
      <c r="F875" s="155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</row>
    <row r="876" customFormat="false" ht="13.5" hidden="false" customHeight="true" outlineLevel="0" collapsed="false">
      <c r="A876" s="155"/>
      <c r="B876" s="155"/>
      <c r="C876" s="155"/>
      <c r="D876" s="155"/>
      <c r="E876" s="155"/>
      <c r="F876" s="155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</row>
    <row r="877" customFormat="false" ht="13.5" hidden="false" customHeight="true" outlineLevel="0" collapsed="false">
      <c r="A877" s="155"/>
      <c r="B877" s="155"/>
      <c r="C877" s="155"/>
      <c r="D877" s="155"/>
      <c r="E877" s="155"/>
      <c r="F877" s="155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</row>
    <row r="878" customFormat="false" ht="13.5" hidden="false" customHeight="true" outlineLevel="0" collapsed="false">
      <c r="A878" s="155"/>
      <c r="B878" s="155"/>
      <c r="C878" s="155"/>
      <c r="D878" s="155"/>
      <c r="E878" s="155"/>
      <c r="F878" s="155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</row>
    <row r="879" customFormat="false" ht="13.5" hidden="false" customHeight="true" outlineLevel="0" collapsed="false">
      <c r="A879" s="155"/>
      <c r="B879" s="155"/>
      <c r="C879" s="155"/>
      <c r="D879" s="155"/>
      <c r="E879" s="155"/>
      <c r="F879" s="155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</row>
    <row r="880" customFormat="false" ht="13.5" hidden="false" customHeight="true" outlineLevel="0" collapsed="false">
      <c r="A880" s="155"/>
      <c r="B880" s="155"/>
      <c r="C880" s="155"/>
      <c r="D880" s="155"/>
      <c r="E880" s="155"/>
      <c r="F880" s="155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</row>
    <row r="881" customFormat="false" ht="13.5" hidden="false" customHeight="true" outlineLevel="0" collapsed="false">
      <c r="A881" s="155"/>
      <c r="B881" s="155"/>
      <c r="C881" s="155"/>
      <c r="D881" s="155"/>
      <c r="E881" s="155"/>
      <c r="F881" s="155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</row>
    <row r="882" customFormat="false" ht="13.5" hidden="false" customHeight="true" outlineLevel="0" collapsed="false">
      <c r="A882" s="155"/>
      <c r="B882" s="155"/>
      <c r="C882" s="155"/>
      <c r="D882" s="155"/>
      <c r="E882" s="155"/>
      <c r="F882" s="155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</row>
    <row r="883" customFormat="false" ht="13.5" hidden="false" customHeight="true" outlineLevel="0" collapsed="false">
      <c r="A883" s="155"/>
      <c r="B883" s="155"/>
      <c r="C883" s="155"/>
      <c r="D883" s="155"/>
      <c r="E883" s="155"/>
      <c r="F883" s="155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</row>
    <row r="884" customFormat="false" ht="13.5" hidden="false" customHeight="true" outlineLevel="0" collapsed="false">
      <c r="A884" s="155"/>
      <c r="B884" s="155"/>
      <c r="C884" s="155"/>
      <c r="D884" s="155"/>
      <c r="E884" s="155"/>
      <c r="F884" s="155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</row>
    <row r="885" customFormat="false" ht="13.5" hidden="false" customHeight="true" outlineLevel="0" collapsed="false">
      <c r="A885" s="155"/>
      <c r="B885" s="155"/>
      <c r="C885" s="155"/>
      <c r="D885" s="155"/>
      <c r="E885" s="155"/>
      <c r="F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</row>
    <row r="886" customFormat="false" ht="13.5" hidden="false" customHeight="true" outlineLevel="0" collapsed="false">
      <c r="A886" s="155"/>
      <c r="B886" s="155"/>
      <c r="C886" s="155"/>
      <c r="D886" s="155"/>
      <c r="E886" s="155"/>
      <c r="F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</row>
    <row r="887" customFormat="false" ht="13.5" hidden="false" customHeight="true" outlineLevel="0" collapsed="false">
      <c r="A887" s="155"/>
      <c r="B887" s="155"/>
      <c r="C887" s="155"/>
      <c r="D887" s="155"/>
      <c r="E887" s="155"/>
      <c r="F887" s="155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</row>
    <row r="888" customFormat="false" ht="13.5" hidden="false" customHeight="true" outlineLevel="0" collapsed="false">
      <c r="A888" s="155"/>
      <c r="B888" s="155"/>
      <c r="C888" s="155"/>
      <c r="D888" s="155"/>
      <c r="E888" s="155"/>
      <c r="F888" s="155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</row>
    <row r="889" customFormat="false" ht="13.5" hidden="false" customHeight="true" outlineLevel="0" collapsed="false">
      <c r="A889" s="155"/>
      <c r="B889" s="155"/>
      <c r="C889" s="155"/>
      <c r="D889" s="155"/>
      <c r="E889" s="155"/>
      <c r="F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</row>
    <row r="890" customFormat="false" ht="13.5" hidden="false" customHeight="true" outlineLevel="0" collapsed="false">
      <c r="A890" s="155"/>
      <c r="B890" s="155"/>
      <c r="C890" s="155"/>
      <c r="D890" s="155"/>
      <c r="E890" s="155"/>
      <c r="F890" s="155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</row>
    <row r="891" customFormat="false" ht="13.5" hidden="false" customHeight="true" outlineLevel="0" collapsed="false">
      <c r="A891" s="155"/>
      <c r="B891" s="155"/>
      <c r="C891" s="155"/>
      <c r="D891" s="155"/>
      <c r="E891" s="155"/>
      <c r="F891" s="155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</row>
    <row r="892" customFormat="false" ht="13.5" hidden="false" customHeight="true" outlineLevel="0" collapsed="false">
      <c r="A892" s="155"/>
      <c r="B892" s="155"/>
      <c r="C892" s="155"/>
      <c r="D892" s="155"/>
      <c r="E892" s="155"/>
      <c r="F892" s="155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</row>
    <row r="893" customFormat="false" ht="13.5" hidden="false" customHeight="true" outlineLevel="0" collapsed="false">
      <c r="A893" s="155"/>
      <c r="B893" s="155"/>
      <c r="C893" s="155"/>
      <c r="D893" s="155"/>
      <c r="E893" s="155"/>
      <c r="F893" s="155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</row>
    <row r="894" customFormat="false" ht="13.5" hidden="false" customHeight="true" outlineLevel="0" collapsed="false">
      <c r="A894" s="155"/>
      <c r="B894" s="155"/>
      <c r="C894" s="155"/>
      <c r="D894" s="155"/>
      <c r="E894" s="155"/>
      <c r="F894" s="155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</row>
    <row r="895" customFormat="false" ht="13.5" hidden="false" customHeight="true" outlineLevel="0" collapsed="false">
      <c r="A895" s="155"/>
      <c r="B895" s="155"/>
      <c r="C895" s="155"/>
      <c r="D895" s="155"/>
      <c r="E895" s="155"/>
      <c r="F895" s="155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</row>
    <row r="896" customFormat="false" ht="13.5" hidden="false" customHeight="true" outlineLevel="0" collapsed="false">
      <c r="A896" s="155"/>
      <c r="B896" s="155"/>
      <c r="C896" s="155"/>
      <c r="D896" s="155"/>
      <c r="E896" s="155"/>
      <c r="F896" s="155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</row>
    <row r="897" customFormat="false" ht="13.5" hidden="false" customHeight="true" outlineLevel="0" collapsed="false">
      <c r="A897" s="155"/>
      <c r="B897" s="155"/>
      <c r="C897" s="155"/>
      <c r="D897" s="155"/>
      <c r="E897" s="155"/>
      <c r="F897" s="155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</row>
    <row r="898" customFormat="false" ht="13.5" hidden="false" customHeight="true" outlineLevel="0" collapsed="false">
      <c r="A898" s="155"/>
      <c r="B898" s="155"/>
      <c r="C898" s="155"/>
      <c r="D898" s="155"/>
      <c r="E898" s="155"/>
      <c r="F898" s="155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</row>
    <row r="899" customFormat="false" ht="13.5" hidden="false" customHeight="true" outlineLevel="0" collapsed="false">
      <c r="A899" s="155"/>
      <c r="B899" s="155"/>
      <c r="C899" s="155"/>
      <c r="D899" s="155"/>
      <c r="E899" s="155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</row>
    <row r="900" customFormat="false" ht="13.5" hidden="false" customHeight="true" outlineLevel="0" collapsed="false">
      <c r="A900" s="155"/>
      <c r="B900" s="155"/>
      <c r="C900" s="155"/>
      <c r="D900" s="155"/>
      <c r="E900" s="155"/>
      <c r="F900" s="155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</row>
    <row r="901" customFormat="false" ht="13.5" hidden="false" customHeight="true" outlineLevel="0" collapsed="false">
      <c r="A901" s="155"/>
      <c r="B901" s="155"/>
      <c r="C901" s="155"/>
      <c r="D901" s="155"/>
      <c r="E901" s="155"/>
      <c r="F901" s="155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</row>
    <row r="902" customFormat="false" ht="13.5" hidden="false" customHeight="true" outlineLevel="0" collapsed="false">
      <c r="A902" s="155"/>
      <c r="B902" s="155"/>
      <c r="C902" s="155"/>
      <c r="D902" s="155"/>
      <c r="E902" s="155"/>
      <c r="F902" s="155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</row>
    <row r="903" customFormat="false" ht="13.5" hidden="false" customHeight="true" outlineLevel="0" collapsed="false">
      <c r="A903" s="155"/>
      <c r="B903" s="155"/>
      <c r="C903" s="155"/>
      <c r="D903" s="155"/>
      <c r="E903" s="155"/>
      <c r="F903" s="155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</row>
    <row r="904" customFormat="false" ht="13.5" hidden="false" customHeight="true" outlineLevel="0" collapsed="false">
      <c r="A904" s="155"/>
      <c r="B904" s="155"/>
      <c r="C904" s="155"/>
      <c r="D904" s="155"/>
      <c r="E904" s="155"/>
      <c r="F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</row>
    <row r="905" customFormat="false" ht="13.5" hidden="false" customHeight="true" outlineLevel="0" collapsed="false">
      <c r="A905" s="155"/>
      <c r="B905" s="155"/>
      <c r="C905" s="155"/>
      <c r="D905" s="155"/>
      <c r="E905" s="155"/>
      <c r="F905" s="155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</row>
    <row r="906" customFormat="false" ht="13.5" hidden="false" customHeight="true" outlineLevel="0" collapsed="false">
      <c r="A906" s="155"/>
      <c r="B906" s="155"/>
      <c r="C906" s="155"/>
      <c r="D906" s="155"/>
      <c r="E906" s="155"/>
      <c r="F906" s="155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</row>
    <row r="907" customFormat="false" ht="13.5" hidden="false" customHeight="true" outlineLevel="0" collapsed="false">
      <c r="A907" s="155"/>
      <c r="B907" s="155"/>
      <c r="C907" s="155"/>
      <c r="D907" s="155"/>
      <c r="E907" s="155"/>
      <c r="F907" s="155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</row>
    <row r="908" customFormat="false" ht="13.5" hidden="false" customHeight="true" outlineLevel="0" collapsed="false">
      <c r="A908" s="155"/>
      <c r="B908" s="155"/>
      <c r="C908" s="155"/>
      <c r="D908" s="155"/>
      <c r="E908" s="155"/>
      <c r="F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</row>
    <row r="909" customFormat="false" ht="13.5" hidden="false" customHeight="true" outlineLevel="0" collapsed="false">
      <c r="A909" s="155"/>
      <c r="B909" s="155"/>
      <c r="C909" s="155"/>
      <c r="D909" s="155"/>
      <c r="E909" s="155"/>
      <c r="F909" s="155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</row>
    <row r="910" customFormat="false" ht="13.5" hidden="false" customHeight="true" outlineLevel="0" collapsed="false">
      <c r="A910" s="155"/>
      <c r="B910" s="155"/>
      <c r="C910" s="155"/>
      <c r="D910" s="155"/>
      <c r="E910" s="155"/>
      <c r="F910" s="155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</row>
    <row r="911" customFormat="false" ht="13.5" hidden="false" customHeight="true" outlineLevel="0" collapsed="false">
      <c r="A911" s="155"/>
      <c r="B911" s="155"/>
      <c r="C911" s="155"/>
      <c r="D911" s="155"/>
      <c r="E911" s="155"/>
      <c r="F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</row>
    <row r="912" customFormat="false" ht="13.5" hidden="false" customHeight="true" outlineLevel="0" collapsed="false">
      <c r="A912" s="155"/>
      <c r="B912" s="155"/>
      <c r="C912" s="155"/>
      <c r="D912" s="155"/>
      <c r="E912" s="155"/>
      <c r="F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</row>
    <row r="913" customFormat="false" ht="13.5" hidden="false" customHeight="true" outlineLevel="0" collapsed="false">
      <c r="A913" s="155"/>
      <c r="B913" s="155"/>
      <c r="C913" s="155"/>
      <c r="D913" s="155"/>
      <c r="E913" s="155"/>
      <c r="F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</row>
    <row r="914" customFormat="false" ht="13.5" hidden="false" customHeight="true" outlineLevel="0" collapsed="false">
      <c r="A914" s="155"/>
      <c r="B914" s="155"/>
      <c r="C914" s="155"/>
      <c r="D914" s="155"/>
      <c r="E914" s="155"/>
      <c r="F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</row>
    <row r="915" customFormat="false" ht="13.5" hidden="false" customHeight="true" outlineLevel="0" collapsed="false">
      <c r="A915" s="155"/>
      <c r="B915" s="155"/>
      <c r="C915" s="155"/>
      <c r="D915" s="155"/>
      <c r="E915" s="155"/>
      <c r="F915" s="155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  <c r="Y915" s="155"/>
      <c r="Z915" s="155"/>
    </row>
    <row r="916" customFormat="false" ht="13.5" hidden="false" customHeight="true" outlineLevel="0" collapsed="false">
      <c r="A916" s="155"/>
      <c r="B916" s="155"/>
      <c r="C916" s="155"/>
      <c r="D916" s="155"/>
      <c r="E916" s="155"/>
      <c r="F916" s="155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  <c r="Y916" s="155"/>
      <c r="Z916" s="155"/>
    </row>
    <row r="917" customFormat="false" ht="13.5" hidden="false" customHeight="true" outlineLevel="0" collapsed="false">
      <c r="A917" s="155"/>
      <c r="B917" s="155"/>
      <c r="C917" s="155"/>
      <c r="D917" s="155"/>
      <c r="E917" s="155"/>
      <c r="F917" s="155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  <c r="Y917" s="155"/>
      <c r="Z917" s="155"/>
    </row>
    <row r="918" customFormat="false" ht="13.5" hidden="false" customHeight="true" outlineLevel="0" collapsed="false">
      <c r="A918" s="155"/>
      <c r="B918" s="155"/>
      <c r="C918" s="155"/>
      <c r="D918" s="155"/>
      <c r="E918" s="155"/>
      <c r="F918" s="155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  <c r="Y918" s="155"/>
      <c r="Z918" s="155"/>
    </row>
    <row r="919" customFormat="false" ht="13.5" hidden="false" customHeight="true" outlineLevel="0" collapsed="false">
      <c r="A919" s="155"/>
      <c r="B919" s="155"/>
      <c r="C919" s="155"/>
      <c r="D919" s="155"/>
      <c r="E919" s="155"/>
      <c r="F919" s="155"/>
      <c r="G919" s="155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</row>
    <row r="920" customFormat="false" ht="13.5" hidden="false" customHeight="true" outlineLevel="0" collapsed="false">
      <c r="A920" s="155"/>
      <c r="B920" s="155"/>
      <c r="C920" s="155"/>
      <c r="D920" s="155"/>
      <c r="E920" s="155"/>
      <c r="F920" s="155"/>
      <c r="G920" s="155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  <c r="Y920" s="155"/>
      <c r="Z920" s="155"/>
    </row>
    <row r="921" customFormat="false" ht="13.5" hidden="false" customHeight="true" outlineLevel="0" collapsed="false">
      <c r="A921" s="155"/>
      <c r="B921" s="155"/>
      <c r="C921" s="155"/>
      <c r="D921" s="155"/>
      <c r="E921" s="155"/>
      <c r="F921" s="155"/>
      <c r="G921" s="155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  <c r="Y921" s="155"/>
      <c r="Z921" s="155"/>
    </row>
    <row r="922" customFormat="false" ht="13.5" hidden="false" customHeight="true" outlineLevel="0" collapsed="false">
      <c r="A922" s="155"/>
      <c r="B922" s="155"/>
      <c r="C922" s="155"/>
      <c r="D922" s="155"/>
      <c r="E922" s="155"/>
      <c r="F922" s="155"/>
      <c r="G922" s="155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  <c r="Y922" s="155"/>
      <c r="Z922" s="155"/>
    </row>
    <row r="923" customFormat="false" ht="13.5" hidden="false" customHeight="true" outlineLevel="0" collapsed="false">
      <c r="A923" s="155"/>
      <c r="B923" s="155"/>
      <c r="C923" s="155"/>
      <c r="D923" s="155"/>
      <c r="E923" s="155"/>
      <c r="F923" s="155"/>
      <c r="G923" s="155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  <c r="Y923" s="155"/>
      <c r="Z923" s="155"/>
    </row>
    <row r="924" customFormat="false" ht="13.5" hidden="false" customHeight="true" outlineLevel="0" collapsed="false">
      <c r="A924" s="155"/>
      <c r="B924" s="155"/>
      <c r="C924" s="155"/>
      <c r="D924" s="155"/>
      <c r="E924" s="155"/>
      <c r="F924" s="155"/>
      <c r="G924" s="155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  <c r="Y924" s="155"/>
      <c r="Z924" s="155"/>
    </row>
    <row r="925" customFormat="false" ht="13.5" hidden="false" customHeight="true" outlineLevel="0" collapsed="false">
      <c r="A925" s="155"/>
      <c r="B925" s="155"/>
      <c r="C925" s="155"/>
      <c r="D925" s="155"/>
      <c r="E925" s="155"/>
      <c r="F925" s="155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  <c r="Y925" s="155"/>
      <c r="Z925" s="155"/>
    </row>
    <row r="926" customFormat="false" ht="13.5" hidden="false" customHeight="true" outlineLevel="0" collapsed="false">
      <c r="A926" s="155"/>
      <c r="B926" s="155"/>
      <c r="C926" s="155"/>
      <c r="D926" s="155"/>
      <c r="E926" s="155"/>
      <c r="F926" s="155"/>
      <c r="G926" s="155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  <c r="Y926" s="155"/>
      <c r="Z926" s="155"/>
    </row>
    <row r="927" customFormat="false" ht="13.5" hidden="false" customHeight="true" outlineLevel="0" collapsed="false">
      <c r="A927" s="155"/>
      <c r="B927" s="155"/>
      <c r="C927" s="155"/>
      <c r="D927" s="155"/>
      <c r="E927" s="155"/>
      <c r="F927" s="155"/>
      <c r="G927" s="155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  <c r="Y927" s="155"/>
      <c r="Z927" s="155"/>
    </row>
    <row r="928" customFormat="false" ht="13.5" hidden="false" customHeight="true" outlineLevel="0" collapsed="false">
      <c r="A928" s="155"/>
      <c r="B928" s="155"/>
      <c r="C928" s="155"/>
      <c r="D928" s="155"/>
      <c r="E928" s="155"/>
      <c r="F928" s="155"/>
      <c r="G928" s="155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  <c r="Y928" s="155"/>
      <c r="Z928" s="155"/>
    </row>
    <row r="929" customFormat="false" ht="13.5" hidden="false" customHeight="true" outlineLevel="0" collapsed="false">
      <c r="A929" s="155"/>
      <c r="B929" s="155"/>
      <c r="C929" s="155"/>
      <c r="D929" s="155"/>
      <c r="E929" s="155"/>
      <c r="F929" s="155"/>
      <c r="G929" s="155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  <c r="Y929" s="155"/>
      <c r="Z929" s="155"/>
    </row>
    <row r="930" customFormat="false" ht="13.5" hidden="false" customHeight="true" outlineLevel="0" collapsed="false">
      <c r="A930" s="155"/>
      <c r="B930" s="155"/>
      <c r="C930" s="155"/>
      <c r="D930" s="155"/>
      <c r="E930" s="155"/>
      <c r="F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</row>
    <row r="931" customFormat="false" ht="13.5" hidden="false" customHeight="true" outlineLevel="0" collapsed="false">
      <c r="A931" s="155"/>
      <c r="B931" s="155"/>
      <c r="C931" s="155"/>
      <c r="D931" s="155"/>
      <c r="E931" s="155"/>
      <c r="F931" s="155"/>
      <c r="G931" s="155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  <c r="Y931" s="155"/>
      <c r="Z931" s="155"/>
    </row>
    <row r="932" customFormat="false" ht="13.5" hidden="false" customHeight="true" outlineLevel="0" collapsed="false">
      <c r="A932" s="155"/>
      <c r="B932" s="155"/>
      <c r="C932" s="155"/>
      <c r="D932" s="155"/>
      <c r="E932" s="155"/>
      <c r="F932" s="155"/>
      <c r="G932" s="155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  <c r="Y932" s="155"/>
      <c r="Z932" s="155"/>
    </row>
    <row r="933" customFormat="false" ht="13.5" hidden="false" customHeight="true" outlineLevel="0" collapsed="false">
      <c r="A933" s="155"/>
      <c r="B933" s="155"/>
      <c r="C933" s="155"/>
      <c r="D933" s="155"/>
      <c r="E933" s="155"/>
      <c r="F933" s="155"/>
      <c r="G933" s="155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  <c r="Y933" s="155"/>
      <c r="Z933" s="155"/>
    </row>
    <row r="934" customFormat="false" ht="13.5" hidden="false" customHeight="true" outlineLevel="0" collapsed="false">
      <c r="A934" s="155"/>
      <c r="B934" s="155"/>
      <c r="C934" s="155"/>
      <c r="D934" s="155"/>
      <c r="E934" s="155"/>
      <c r="F934" s="155"/>
      <c r="G934" s="155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  <c r="Y934" s="155"/>
      <c r="Z934" s="155"/>
    </row>
    <row r="935" customFormat="false" ht="13.5" hidden="false" customHeight="true" outlineLevel="0" collapsed="false">
      <c r="A935" s="155"/>
      <c r="B935" s="155"/>
      <c r="C935" s="155"/>
      <c r="D935" s="155"/>
      <c r="E935" s="155"/>
      <c r="F935" s="155"/>
      <c r="G935" s="155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  <c r="Y935" s="155"/>
      <c r="Z935" s="155"/>
    </row>
    <row r="936" customFormat="false" ht="13.5" hidden="false" customHeight="true" outlineLevel="0" collapsed="false">
      <c r="A936" s="155"/>
      <c r="B936" s="155"/>
      <c r="C936" s="155"/>
      <c r="D936" s="155"/>
      <c r="E936" s="155"/>
      <c r="F936" s="155"/>
      <c r="G936" s="155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  <c r="Y936" s="155"/>
      <c r="Z936" s="155"/>
    </row>
    <row r="937" customFormat="false" ht="13.5" hidden="false" customHeight="true" outlineLevel="0" collapsed="false">
      <c r="A937" s="155"/>
      <c r="B937" s="155"/>
      <c r="C937" s="155"/>
      <c r="D937" s="155"/>
      <c r="E937" s="155"/>
      <c r="F937" s="155"/>
      <c r="G937" s="155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</row>
    <row r="938" customFormat="false" ht="13.5" hidden="false" customHeight="true" outlineLevel="0" collapsed="false">
      <c r="A938" s="155"/>
      <c r="B938" s="155"/>
      <c r="C938" s="155"/>
      <c r="D938" s="155"/>
      <c r="E938" s="155"/>
      <c r="F938" s="155"/>
      <c r="G938" s="155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  <c r="Y938" s="155"/>
      <c r="Z938" s="155"/>
    </row>
    <row r="939" customFormat="false" ht="13.5" hidden="false" customHeight="true" outlineLevel="0" collapsed="false">
      <c r="A939" s="155"/>
      <c r="B939" s="155"/>
      <c r="C939" s="155"/>
      <c r="D939" s="155"/>
      <c r="E939" s="155"/>
      <c r="F939" s="155"/>
      <c r="G939" s="155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  <c r="Y939" s="155"/>
      <c r="Z939" s="155"/>
    </row>
    <row r="940" customFormat="false" ht="13.5" hidden="false" customHeight="true" outlineLevel="0" collapsed="false">
      <c r="A940" s="155"/>
      <c r="B940" s="155"/>
      <c r="C940" s="155"/>
      <c r="D940" s="155"/>
      <c r="E940" s="155"/>
      <c r="F940" s="155"/>
      <c r="G940" s="155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  <c r="Y940" s="155"/>
      <c r="Z940" s="155"/>
    </row>
    <row r="941" customFormat="false" ht="13.5" hidden="false" customHeight="true" outlineLevel="0" collapsed="false">
      <c r="A941" s="155"/>
      <c r="B941" s="155"/>
      <c r="C941" s="155"/>
      <c r="D941" s="155"/>
      <c r="E941" s="155"/>
      <c r="F941" s="155"/>
      <c r="G941" s="155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  <c r="Y941" s="155"/>
      <c r="Z941" s="155"/>
    </row>
    <row r="942" customFormat="false" ht="13.5" hidden="false" customHeight="true" outlineLevel="0" collapsed="false">
      <c r="A942" s="155"/>
      <c r="B942" s="155"/>
      <c r="C942" s="155"/>
      <c r="D942" s="155"/>
      <c r="E942" s="155"/>
      <c r="F942" s="155"/>
      <c r="G942" s="155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  <c r="Y942" s="155"/>
      <c r="Z942" s="155"/>
    </row>
    <row r="943" customFormat="false" ht="13.5" hidden="false" customHeight="true" outlineLevel="0" collapsed="false">
      <c r="A943" s="155"/>
      <c r="B943" s="155"/>
      <c r="C943" s="155"/>
      <c r="D943" s="155"/>
      <c r="E943" s="155"/>
      <c r="F943" s="155"/>
      <c r="G943" s="155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  <c r="Y943" s="155"/>
      <c r="Z943" s="155"/>
    </row>
    <row r="944" customFormat="false" ht="13.5" hidden="false" customHeight="true" outlineLevel="0" collapsed="false">
      <c r="A944" s="155"/>
      <c r="B944" s="155"/>
      <c r="C944" s="155"/>
      <c r="D944" s="155"/>
      <c r="E944" s="155"/>
      <c r="F944" s="155"/>
      <c r="G944" s="155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  <c r="Y944" s="155"/>
      <c r="Z944" s="155"/>
    </row>
    <row r="945" customFormat="false" ht="13.5" hidden="false" customHeight="true" outlineLevel="0" collapsed="false">
      <c r="A945" s="155"/>
      <c r="B945" s="155"/>
      <c r="C945" s="155"/>
      <c r="D945" s="155"/>
      <c r="E945" s="155"/>
      <c r="F945" s="155"/>
      <c r="G945" s="155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  <c r="Y945" s="155"/>
      <c r="Z945" s="155"/>
    </row>
    <row r="946" customFormat="false" ht="13.5" hidden="false" customHeight="true" outlineLevel="0" collapsed="false">
      <c r="A946" s="155"/>
      <c r="B946" s="155"/>
      <c r="C946" s="155"/>
      <c r="D946" s="155"/>
      <c r="E946" s="155"/>
      <c r="F946" s="155"/>
      <c r="G946" s="155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  <c r="Y946" s="155"/>
      <c r="Z946" s="155"/>
    </row>
    <row r="947" customFormat="false" ht="13.5" hidden="false" customHeight="true" outlineLevel="0" collapsed="false">
      <c r="A947" s="155"/>
      <c r="B947" s="155"/>
      <c r="C947" s="155"/>
      <c r="D947" s="155"/>
      <c r="E947" s="155"/>
      <c r="F947" s="155"/>
      <c r="G947" s="155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  <c r="V947" s="155"/>
      <c r="W947" s="155"/>
      <c r="X947" s="155"/>
      <c r="Y947" s="155"/>
      <c r="Z947" s="155"/>
    </row>
    <row r="948" customFormat="false" ht="13.5" hidden="false" customHeight="true" outlineLevel="0" collapsed="false">
      <c r="A948" s="155"/>
      <c r="B948" s="155"/>
      <c r="C948" s="155"/>
      <c r="D948" s="155"/>
      <c r="E948" s="155"/>
      <c r="F948" s="155"/>
      <c r="G948" s="155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  <c r="V948" s="155"/>
      <c r="W948" s="155"/>
      <c r="X948" s="155"/>
      <c r="Y948" s="155"/>
      <c r="Z948" s="155"/>
    </row>
    <row r="949" customFormat="false" ht="13.5" hidden="false" customHeight="true" outlineLevel="0" collapsed="false">
      <c r="A949" s="155"/>
      <c r="B949" s="155"/>
      <c r="C949" s="155"/>
      <c r="D949" s="155"/>
      <c r="E949" s="155"/>
      <c r="F949" s="155"/>
      <c r="G949" s="155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  <c r="V949" s="155"/>
      <c r="W949" s="155"/>
      <c r="X949" s="155"/>
      <c r="Y949" s="155"/>
      <c r="Z949" s="155"/>
    </row>
    <row r="950" customFormat="false" ht="13.5" hidden="false" customHeight="true" outlineLevel="0" collapsed="false">
      <c r="A950" s="155"/>
      <c r="B950" s="155"/>
      <c r="C950" s="155"/>
      <c r="D950" s="155"/>
      <c r="E950" s="155"/>
      <c r="F950" s="155"/>
      <c r="G950" s="155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  <c r="V950" s="155"/>
      <c r="W950" s="155"/>
      <c r="X950" s="155"/>
      <c r="Y950" s="155"/>
      <c r="Z950" s="155"/>
    </row>
    <row r="951" customFormat="false" ht="13.5" hidden="false" customHeight="true" outlineLevel="0" collapsed="false">
      <c r="A951" s="155"/>
      <c r="B951" s="155"/>
      <c r="C951" s="155"/>
      <c r="D951" s="155"/>
      <c r="E951" s="155"/>
      <c r="F951" s="155"/>
      <c r="G951" s="155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5"/>
      <c r="X951" s="155"/>
      <c r="Y951" s="155"/>
      <c r="Z951" s="155"/>
    </row>
    <row r="952" customFormat="false" ht="13.5" hidden="false" customHeight="true" outlineLevel="0" collapsed="false">
      <c r="A952" s="155"/>
      <c r="B952" s="155"/>
      <c r="C952" s="155"/>
      <c r="D952" s="155"/>
      <c r="E952" s="155"/>
      <c r="F952" s="155"/>
      <c r="G952" s="155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  <c r="V952" s="155"/>
      <c r="W952" s="155"/>
      <c r="X952" s="155"/>
      <c r="Y952" s="155"/>
      <c r="Z952" s="155"/>
    </row>
    <row r="953" customFormat="false" ht="13.5" hidden="false" customHeight="true" outlineLevel="0" collapsed="false">
      <c r="A953" s="155"/>
      <c r="B953" s="155"/>
      <c r="C953" s="155"/>
      <c r="D953" s="155"/>
      <c r="E953" s="155"/>
      <c r="F953" s="155"/>
      <c r="G953" s="155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  <c r="V953" s="155"/>
      <c r="W953" s="155"/>
      <c r="X953" s="155"/>
      <c r="Y953" s="155"/>
      <c r="Z953" s="155"/>
    </row>
    <row r="954" customFormat="false" ht="13.5" hidden="false" customHeight="true" outlineLevel="0" collapsed="false">
      <c r="A954" s="155"/>
      <c r="B954" s="155"/>
      <c r="C954" s="155"/>
      <c r="D954" s="155"/>
      <c r="E954" s="155"/>
      <c r="F954" s="155"/>
      <c r="G954" s="155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  <c r="V954" s="155"/>
      <c r="W954" s="155"/>
      <c r="X954" s="155"/>
      <c r="Y954" s="155"/>
      <c r="Z954" s="155"/>
    </row>
    <row r="955" customFormat="false" ht="13.5" hidden="false" customHeight="true" outlineLevel="0" collapsed="false">
      <c r="A955" s="155"/>
      <c r="B955" s="155"/>
      <c r="C955" s="155"/>
      <c r="D955" s="155"/>
      <c r="E955" s="155"/>
      <c r="F955" s="155"/>
      <c r="G955" s="155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  <c r="V955" s="155"/>
      <c r="W955" s="155"/>
      <c r="X955" s="155"/>
      <c r="Y955" s="155"/>
      <c r="Z955" s="155"/>
    </row>
    <row r="956" customFormat="false" ht="13.5" hidden="false" customHeight="true" outlineLevel="0" collapsed="false">
      <c r="A956" s="155"/>
      <c r="B956" s="155"/>
      <c r="C956" s="155"/>
      <c r="D956" s="155"/>
      <c r="E956" s="155"/>
      <c r="F956" s="155"/>
      <c r="G956" s="155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  <c r="W956" s="155"/>
      <c r="X956" s="155"/>
      <c r="Y956" s="155"/>
      <c r="Z956" s="155"/>
    </row>
    <row r="957" customFormat="false" ht="13.5" hidden="false" customHeight="true" outlineLevel="0" collapsed="false">
      <c r="A957" s="155"/>
      <c r="B957" s="155"/>
      <c r="C957" s="155"/>
      <c r="D957" s="155"/>
      <c r="E957" s="155"/>
      <c r="F957" s="155"/>
      <c r="G957" s="155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  <c r="V957" s="155"/>
      <c r="W957" s="155"/>
      <c r="X957" s="155"/>
      <c r="Y957" s="155"/>
      <c r="Z957" s="155"/>
    </row>
    <row r="958" customFormat="false" ht="13.5" hidden="false" customHeight="true" outlineLevel="0" collapsed="false">
      <c r="A958" s="155"/>
      <c r="B958" s="155"/>
      <c r="C958" s="155"/>
      <c r="D958" s="155"/>
      <c r="E958" s="155"/>
      <c r="F958" s="155"/>
      <c r="G958" s="155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  <c r="V958" s="155"/>
      <c r="W958" s="155"/>
      <c r="X958" s="155"/>
      <c r="Y958" s="155"/>
      <c r="Z958" s="155"/>
    </row>
    <row r="959" customFormat="false" ht="13.5" hidden="false" customHeight="true" outlineLevel="0" collapsed="false">
      <c r="A959" s="155"/>
      <c r="B959" s="155"/>
      <c r="C959" s="155"/>
      <c r="D959" s="155"/>
      <c r="E959" s="155"/>
      <c r="F959" s="155"/>
      <c r="G959" s="155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  <c r="V959" s="155"/>
      <c r="W959" s="155"/>
      <c r="X959" s="155"/>
      <c r="Y959" s="155"/>
      <c r="Z959" s="155"/>
    </row>
    <row r="960" customFormat="false" ht="13.5" hidden="false" customHeight="true" outlineLevel="0" collapsed="false">
      <c r="A960" s="155"/>
      <c r="B960" s="155"/>
      <c r="C960" s="155"/>
      <c r="D960" s="155"/>
      <c r="E960" s="155"/>
      <c r="F960" s="155"/>
      <c r="G960" s="155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  <c r="V960" s="155"/>
      <c r="W960" s="155"/>
      <c r="X960" s="155"/>
      <c r="Y960" s="155"/>
      <c r="Z960" s="155"/>
    </row>
    <row r="961" customFormat="false" ht="13.5" hidden="false" customHeight="true" outlineLevel="0" collapsed="false">
      <c r="A961" s="155"/>
      <c r="B961" s="155"/>
      <c r="C961" s="155"/>
      <c r="D961" s="155"/>
      <c r="E961" s="155"/>
      <c r="F961" s="155"/>
      <c r="G961" s="155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  <c r="V961" s="155"/>
      <c r="W961" s="155"/>
      <c r="X961" s="155"/>
      <c r="Y961" s="155"/>
      <c r="Z961" s="155"/>
    </row>
    <row r="962" customFormat="false" ht="13.5" hidden="false" customHeight="true" outlineLevel="0" collapsed="false">
      <c r="A962" s="155"/>
      <c r="B962" s="155"/>
      <c r="C962" s="155"/>
      <c r="D962" s="155"/>
      <c r="E962" s="155"/>
      <c r="F962" s="155"/>
      <c r="G962" s="155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  <c r="V962" s="155"/>
      <c r="W962" s="155"/>
      <c r="X962" s="155"/>
      <c r="Y962" s="155"/>
      <c r="Z962" s="155"/>
    </row>
    <row r="963" customFormat="false" ht="13.5" hidden="false" customHeight="true" outlineLevel="0" collapsed="false">
      <c r="A963" s="155"/>
      <c r="B963" s="155"/>
      <c r="C963" s="155"/>
      <c r="D963" s="155"/>
      <c r="E963" s="155"/>
      <c r="F963" s="155"/>
      <c r="G963" s="155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  <c r="V963" s="155"/>
      <c r="W963" s="155"/>
      <c r="X963" s="155"/>
      <c r="Y963" s="155"/>
      <c r="Z963" s="155"/>
    </row>
    <row r="964" customFormat="false" ht="13.5" hidden="false" customHeight="true" outlineLevel="0" collapsed="false">
      <c r="A964" s="155"/>
      <c r="B964" s="155"/>
      <c r="C964" s="155"/>
      <c r="D964" s="155"/>
      <c r="E964" s="155"/>
      <c r="F964" s="155"/>
      <c r="G964" s="155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  <c r="V964" s="155"/>
      <c r="W964" s="155"/>
      <c r="X964" s="155"/>
      <c r="Y964" s="155"/>
      <c r="Z964" s="155"/>
    </row>
    <row r="965" customFormat="false" ht="13.5" hidden="false" customHeight="true" outlineLevel="0" collapsed="false">
      <c r="A965" s="155"/>
      <c r="B965" s="155"/>
      <c r="C965" s="155"/>
      <c r="D965" s="155"/>
      <c r="E965" s="155"/>
      <c r="F965" s="155"/>
      <c r="G965" s="155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  <c r="V965" s="155"/>
      <c r="W965" s="155"/>
      <c r="X965" s="155"/>
      <c r="Y965" s="155"/>
      <c r="Z965" s="155"/>
    </row>
    <row r="966" customFormat="false" ht="13.5" hidden="false" customHeight="true" outlineLevel="0" collapsed="false">
      <c r="A966" s="155"/>
      <c r="B966" s="155"/>
      <c r="C966" s="155"/>
      <c r="D966" s="155"/>
      <c r="E966" s="155"/>
      <c r="F966" s="155"/>
      <c r="G966" s="155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  <c r="W966" s="155"/>
      <c r="X966" s="155"/>
      <c r="Y966" s="155"/>
      <c r="Z966" s="155"/>
    </row>
    <row r="967" customFormat="false" ht="13.5" hidden="false" customHeight="true" outlineLevel="0" collapsed="false">
      <c r="A967" s="155"/>
      <c r="B967" s="155"/>
      <c r="C967" s="155"/>
      <c r="D967" s="155"/>
      <c r="E967" s="155"/>
      <c r="F967" s="155"/>
      <c r="G967" s="155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  <c r="V967" s="155"/>
      <c r="W967" s="155"/>
      <c r="X967" s="155"/>
      <c r="Y967" s="155"/>
      <c r="Z967" s="155"/>
    </row>
    <row r="968" customFormat="false" ht="13.5" hidden="false" customHeight="true" outlineLevel="0" collapsed="false">
      <c r="A968" s="155"/>
      <c r="B968" s="155"/>
      <c r="C968" s="155"/>
      <c r="D968" s="155"/>
      <c r="E968" s="155"/>
      <c r="F968" s="155"/>
      <c r="G968" s="155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  <c r="V968" s="155"/>
      <c r="W968" s="155"/>
      <c r="X968" s="155"/>
      <c r="Y968" s="155"/>
      <c r="Z968" s="155"/>
    </row>
    <row r="969" customFormat="false" ht="13.5" hidden="false" customHeight="true" outlineLevel="0" collapsed="false">
      <c r="A969" s="155"/>
      <c r="B969" s="155"/>
      <c r="C969" s="155"/>
      <c r="D969" s="155"/>
      <c r="E969" s="155"/>
      <c r="F969" s="155"/>
      <c r="G969" s="155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155"/>
      <c r="S969" s="155"/>
      <c r="T969" s="155"/>
      <c r="U969" s="155"/>
      <c r="V969" s="155"/>
      <c r="W969" s="155"/>
      <c r="X969" s="155"/>
      <c r="Y969" s="155"/>
      <c r="Z969" s="155"/>
    </row>
    <row r="970" customFormat="false" ht="13.5" hidden="false" customHeight="true" outlineLevel="0" collapsed="false">
      <c r="A970" s="155"/>
      <c r="B970" s="155"/>
      <c r="C970" s="155"/>
      <c r="D970" s="155"/>
      <c r="E970" s="155"/>
      <c r="F970" s="155"/>
      <c r="G970" s="155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155"/>
      <c r="S970" s="155"/>
      <c r="T970" s="155"/>
      <c r="U970" s="155"/>
      <c r="V970" s="155"/>
      <c r="W970" s="155"/>
      <c r="X970" s="155"/>
      <c r="Y970" s="155"/>
      <c r="Z970" s="155"/>
    </row>
    <row r="971" customFormat="false" ht="13.5" hidden="false" customHeight="true" outlineLevel="0" collapsed="false">
      <c r="A971" s="155"/>
      <c r="B971" s="155"/>
      <c r="C971" s="155"/>
      <c r="D971" s="155"/>
      <c r="E971" s="155"/>
      <c r="F971" s="155"/>
      <c r="G971" s="155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155"/>
      <c r="S971" s="155"/>
      <c r="T971" s="155"/>
      <c r="U971" s="155"/>
      <c r="V971" s="155"/>
      <c r="W971" s="155"/>
      <c r="X971" s="155"/>
      <c r="Y971" s="155"/>
      <c r="Z971" s="155"/>
    </row>
    <row r="972" customFormat="false" ht="13.5" hidden="false" customHeight="true" outlineLevel="0" collapsed="false">
      <c r="A972" s="155"/>
      <c r="B972" s="155"/>
      <c r="C972" s="155"/>
      <c r="D972" s="155"/>
      <c r="E972" s="155"/>
      <c r="F972" s="155"/>
      <c r="G972" s="155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155"/>
      <c r="S972" s="155"/>
      <c r="T972" s="155"/>
      <c r="U972" s="155"/>
      <c r="V972" s="155"/>
      <c r="W972" s="155"/>
      <c r="X972" s="155"/>
      <c r="Y972" s="155"/>
      <c r="Z972" s="155"/>
    </row>
    <row r="973" customFormat="false" ht="13.5" hidden="false" customHeight="true" outlineLevel="0" collapsed="false">
      <c r="A973" s="155"/>
      <c r="B973" s="155"/>
      <c r="C973" s="155"/>
      <c r="D973" s="155"/>
      <c r="E973" s="155"/>
      <c r="F973" s="155"/>
      <c r="G973" s="155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55"/>
      <c r="X973" s="155"/>
      <c r="Y973" s="155"/>
      <c r="Z973" s="155"/>
    </row>
    <row r="974" customFormat="false" ht="13.5" hidden="false" customHeight="true" outlineLevel="0" collapsed="false">
      <c r="A974" s="155"/>
      <c r="B974" s="155"/>
      <c r="C974" s="155"/>
      <c r="D974" s="155"/>
      <c r="E974" s="155"/>
      <c r="F974" s="155"/>
      <c r="G974" s="155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  <c r="V974" s="155"/>
      <c r="W974" s="155"/>
      <c r="X974" s="155"/>
      <c r="Y974" s="155"/>
      <c r="Z974" s="155"/>
    </row>
    <row r="975" customFormat="false" ht="13.5" hidden="false" customHeight="true" outlineLevel="0" collapsed="false">
      <c r="A975" s="155"/>
      <c r="B975" s="155"/>
      <c r="C975" s="155"/>
      <c r="D975" s="155"/>
      <c r="E975" s="155"/>
      <c r="F975" s="155"/>
      <c r="G975" s="155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  <c r="V975" s="155"/>
      <c r="W975" s="155"/>
      <c r="X975" s="155"/>
      <c r="Y975" s="155"/>
      <c r="Z975" s="155"/>
    </row>
    <row r="976" customFormat="false" ht="13.5" hidden="false" customHeight="true" outlineLevel="0" collapsed="false">
      <c r="A976" s="155"/>
      <c r="B976" s="155"/>
      <c r="C976" s="155"/>
      <c r="D976" s="155"/>
      <c r="E976" s="155"/>
      <c r="F976" s="155"/>
      <c r="G976" s="155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  <c r="W976" s="155"/>
      <c r="X976" s="155"/>
      <c r="Y976" s="155"/>
      <c r="Z976" s="155"/>
    </row>
    <row r="977" customFormat="false" ht="13.5" hidden="false" customHeight="true" outlineLevel="0" collapsed="false">
      <c r="A977" s="155"/>
      <c r="B977" s="155"/>
      <c r="C977" s="155"/>
      <c r="D977" s="155"/>
      <c r="E977" s="155"/>
      <c r="F977" s="155"/>
      <c r="G977" s="155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  <c r="V977" s="155"/>
      <c r="W977" s="155"/>
      <c r="X977" s="155"/>
      <c r="Y977" s="155"/>
      <c r="Z977" s="155"/>
    </row>
    <row r="978" customFormat="false" ht="13.5" hidden="false" customHeight="true" outlineLevel="0" collapsed="false">
      <c r="A978" s="155"/>
      <c r="B978" s="155"/>
      <c r="C978" s="155"/>
      <c r="D978" s="155"/>
      <c r="E978" s="155"/>
      <c r="F978" s="155"/>
      <c r="G978" s="155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  <c r="V978" s="155"/>
      <c r="W978" s="155"/>
      <c r="X978" s="155"/>
      <c r="Y978" s="155"/>
      <c r="Z978" s="155"/>
    </row>
    <row r="979" customFormat="false" ht="13.5" hidden="false" customHeight="true" outlineLevel="0" collapsed="false">
      <c r="A979" s="155"/>
      <c r="B979" s="155"/>
      <c r="C979" s="155"/>
      <c r="D979" s="155"/>
      <c r="E979" s="155"/>
      <c r="F979" s="155"/>
      <c r="G979" s="155"/>
      <c r="H979" s="155"/>
      <c r="I979" s="155"/>
      <c r="J979" s="155"/>
      <c r="K979" s="155"/>
      <c r="L979" s="155"/>
      <c r="M979" s="155"/>
      <c r="N979" s="155"/>
      <c r="O979" s="155"/>
      <c r="P979" s="155"/>
      <c r="Q979" s="155"/>
      <c r="R979" s="155"/>
      <c r="S979" s="155"/>
      <c r="T979" s="155"/>
      <c r="U979" s="155"/>
      <c r="V979" s="155"/>
      <c r="W979" s="155"/>
      <c r="X979" s="155"/>
      <c r="Y979" s="155"/>
      <c r="Z979" s="155"/>
    </row>
    <row r="980" customFormat="false" ht="13.5" hidden="false" customHeight="true" outlineLevel="0" collapsed="false">
      <c r="A980" s="155"/>
      <c r="B980" s="155"/>
      <c r="C980" s="155"/>
      <c r="D980" s="155"/>
      <c r="E980" s="155"/>
      <c r="F980" s="155"/>
      <c r="G980" s="155"/>
      <c r="H980" s="155"/>
      <c r="I980" s="155"/>
      <c r="J980" s="155"/>
      <c r="K980" s="155"/>
      <c r="L980" s="155"/>
      <c r="M980" s="155"/>
      <c r="N980" s="155"/>
      <c r="O980" s="155"/>
      <c r="P980" s="155"/>
      <c r="Q980" s="155"/>
      <c r="R980" s="155"/>
      <c r="S980" s="155"/>
      <c r="T980" s="155"/>
      <c r="U980" s="155"/>
      <c r="V980" s="155"/>
      <c r="W980" s="155"/>
      <c r="X980" s="155"/>
      <c r="Y980" s="155"/>
      <c r="Z980" s="155"/>
    </row>
    <row r="981" customFormat="false" ht="13.5" hidden="false" customHeight="true" outlineLevel="0" collapsed="false">
      <c r="A981" s="155"/>
      <c r="B981" s="155"/>
      <c r="C981" s="155"/>
      <c r="D981" s="155"/>
      <c r="E981" s="155"/>
      <c r="F981" s="155"/>
      <c r="G981" s="155"/>
      <c r="H981" s="155"/>
      <c r="I981" s="155"/>
      <c r="J981" s="155"/>
      <c r="K981" s="155"/>
      <c r="L981" s="155"/>
      <c r="M981" s="155"/>
      <c r="N981" s="155"/>
      <c r="O981" s="155"/>
      <c r="P981" s="155"/>
      <c r="Q981" s="155"/>
      <c r="R981" s="155"/>
      <c r="S981" s="155"/>
      <c r="T981" s="155"/>
      <c r="U981" s="155"/>
      <c r="V981" s="155"/>
      <c r="W981" s="155"/>
      <c r="X981" s="155"/>
      <c r="Y981" s="155"/>
      <c r="Z981" s="155"/>
    </row>
    <row r="982" customFormat="false" ht="13.5" hidden="false" customHeight="true" outlineLevel="0" collapsed="false">
      <c r="A982" s="155"/>
      <c r="B982" s="155"/>
      <c r="C982" s="155"/>
      <c r="D982" s="155"/>
      <c r="E982" s="155"/>
      <c r="F982" s="155"/>
      <c r="G982" s="155"/>
      <c r="H982" s="155"/>
      <c r="I982" s="155"/>
      <c r="J982" s="155"/>
      <c r="K982" s="155"/>
      <c r="L982" s="155"/>
      <c r="M982" s="155"/>
      <c r="N982" s="155"/>
      <c r="O982" s="155"/>
      <c r="P982" s="155"/>
      <c r="Q982" s="155"/>
      <c r="R982" s="155"/>
      <c r="S982" s="155"/>
      <c r="T982" s="155"/>
      <c r="U982" s="155"/>
      <c r="V982" s="155"/>
      <c r="W982" s="155"/>
      <c r="X982" s="155"/>
      <c r="Y982" s="155"/>
      <c r="Z982" s="155"/>
    </row>
    <row r="983" customFormat="false" ht="13.5" hidden="false" customHeight="true" outlineLevel="0" collapsed="false">
      <c r="A983" s="155"/>
      <c r="B983" s="155"/>
      <c r="C983" s="155"/>
      <c r="D983" s="155"/>
      <c r="E983" s="155"/>
      <c r="F983" s="155"/>
      <c r="G983" s="155"/>
      <c r="H983" s="155"/>
      <c r="I983" s="155"/>
      <c r="J983" s="155"/>
      <c r="K983" s="155"/>
      <c r="L983" s="155"/>
      <c r="M983" s="155"/>
      <c r="N983" s="155"/>
      <c r="O983" s="155"/>
      <c r="P983" s="155"/>
      <c r="Q983" s="155"/>
      <c r="R983" s="155"/>
      <c r="S983" s="155"/>
      <c r="T983" s="155"/>
      <c r="U983" s="155"/>
      <c r="V983" s="155"/>
      <c r="W983" s="155"/>
      <c r="X983" s="155"/>
      <c r="Y983" s="155"/>
      <c r="Z983" s="155"/>
    </row>
    <row r="984" customFormat="false" ht="13.5" hidden="false" customHeight="true" outlineLevel="0" collapsed="false">
      <c r="A984" s="155"/>
      <c r="B984" s="155"/>
      <c r="C984" s="155"/>
      <c r="D984" s="155"/>
      <c r="E984" s="155"/>
      <c r="F984" s="155"/>
      <c r="G984" s="155"/>
      <c r="H984" s="155"/>
      <c r="I984" s="155"/>
      <c r="J984" s="155"/>
      <c r="K984" s="155"/>
      <c r="L984" s="155"/>
      <c r="M984" s="155"/>
      <c r="N984" s="155"/>
      <c r="O984" s="155"/>
      <c r="P984" s="155"/>
      <c r="Q984" s="155"/>
      <c r="R984" s="155"/>
      <c r="S984" s="155"/>
      <c r="T984" s="155"/>
      <c r="U984" s="155"/>
      <c r="V984" s="155"/>
      <c r="W984" s="155"/>
      <c r="X984" s="155"/>
      <c r="Y984" s="155"/>
      <c r="Z984" s="155"/>
    </row>
    <row r="985" customFormat="false" ht="13.5" hidden="false" customHeight="true" outlineLevel="0" collapsed="false">
      <c r="A985" s="155"/>
      <c r="B985" s="155"/>
      <c r="C985" s="155"/>
      <c r="D985" s="155"/>
      <c r="E985" s="155"/>
      <c r="F985" s="155"/>
      <c r="G985" s="155"/>
      <c r="H985" s="155"/>
      <c r="I985" s="155"/>
      <c r="J985" s="155"/>
      <c r="K985" s="155"/>
      <c r="L985" s="155"/>
      <c r="M985" s="155"/>
      <c r="N985" s="155"/>
      <c r="O985" s="155"/>
      <c r="P985" s="155"/>
      <c r="Q985" s="155"/>
      <c r="R985" s="155"/>
      <c r="S985" s="155"/>
      <c r="T985" s="155"/>
      <c r="U985" s="155"/>
      <c r="V985" s="155"/>
      <c r="W985" s="155"/>
      <c r="X985" s="155"/>
      <c r="Y985" s="155"/>
      <c r="Z985" s="155"/>
    </row>
    <row r="986" customFormat="false" ht="13.5" hidden="false" customHeight="true" outlineLevel="0" collapsed="false">
      <c r="A986" s="155"/>
      <c r="B986" s="155"/>
      <c r="C986" s="155"/>
      <c r="D986" s="155"/>
      <c r="E986" s="155"/>
      <c r="F986" s="155"/>
      <c r="G986" s="155"/>
      <c r="H986" s="155"/>
      <c r="I986" s="155"/>
      <c r="J986" s="155"/>
      <c r="K986" s="155"/>
      <c r="L986" s="155"/>
      <c r="M986" s="155"/>
      <c r="N986" s="155"/>
      <c r="O986" s="155"/>
      <c r="P986" s="155"/>
      <c r="Q986" s="155"/>
      <c r="R986" s="155"/>
      <c r="S986" s="155"/>
      <c r="T986" s="155"/>
      <c r="U986" s="155"/>
      <c r="V986" s="155"/>
      <c r="W986" s="155"/>
      <c r="X986" s="155"/>
      <c r="Y986" s="155"/>
      <c r="Z986" s="155"/>
    </row>
    <row r="987" customFormat="false" ht="13.5" hidden="false" customHeight="true" outlineLevel="0" collapsed="false">
      <c r="A987" s="155"/>
      <c r="B987" s="155"/>
      <c r="C987" s="155"/>
      <c r="D987" s="155"/>
      <c r="E987" s="155"/>
      <c r="F987" s="155"/>
      <c r="G987" s="155"/>
      <c r="H987" s="155"/>
      <c r="I987" s="155"/>
      <c r="J987" s="155"/>
      <c r="K987" s="155"/>
      <c r="L987" s="155"/>
      <c r="M987" s="155"/>
      <c r="N987" s="155"/>
      <c r="O987" s="155"/>
      <c r="P987" s="155"/>
      <c r="Q987" s="155"/>
      <c r="R987" s="155"/>
      <c r="S987" s="155"/>
      <c r="T987" s="155"/>
      <c r="U987" s="155"/>
      <c r="V987" s="155"/>
      <c r="W987" s="155"/>
      <c r="X987" s="155"/>
      <c r="Y987" s="155"/>
      <c r="Z987" s="155"/>
    </row>
    <row r="988" customFormat="false" ht="13.5" hidden="false" customHeight="true" outlineLevel="0" collapsed="false">
      <c r="A988" s="155"/>
      <c r="B988" s="155"/>
      <c r="C988" s="155"/>
      <c r="D988" s="155"/>
      <c r="E988" s="155"/>
      <c r="F988" s="155"/>
      <c r="G988" s="155"/>
      <c r="H988" s="155"/>
      <c r="I988" s="155"/>
      <c r="J988" s="155"/>
      <c r="K988" s="155"/>
      <c r="L988" s="155"/>
      <c r="M988" s="155"/>
      <c r="N988" s="155"/>
      <c r="O988" s="155"/>
      <c r="P988" s="155"/>
      <c r="Q988" s="155"/>
      <c r="R988" s="155"/>
      <c r="S988" s="155"/>
      <c r="T988" s="155"/>
      <c r="U988" s="155"/>
      <c r="V988" s="155"/>
      <c r="W988" s="155"/>
      <c r="X988" s="155"/>
      <c r="Y988" s="155"/>
      <c r="Z988" s="155"/>
    </row>
    <row r="989" customFormat="false" ht="13.5" hidden="false" customHeight="true" outlineLevel="0" collapsed="false">
      <c r="A989" s="155"/>
      <c r="B989" s="155"/>
      <c r="C989" s="155"/>
      <c r="D989" s="155"/>
      <c r="E989" s="155"/>
      <c r="F989" s="155"/>
      <c r="G989" s="155"/>
      <c r="H989" s="155"/>
      <c r="I989" s="155"/>
      <c r="J989" s="155"/>
      <c r="K989" s="155"/>
      <c r="L989" s="155"/>
      <c r="M989" s="155"/>
      <c r="N989" s="155"/>
      <c r="O989" s="155"/>
      <c r="P989" s="155"/>
      <c r="Q989" s="155"/>
      <c r="R989" s="155"/>
      <c r="S989" s="155"/>
      <c r="T989" s="155"/>
      <c r="U989" s="155"/>
      <c r="V989" s="155"/>
      <c r="W989" s="155"/>
      <c r="X989" s="155"/>
      <c r="Y989" s="155"/>
      <c r="Z989" s="155"/>
    </row>
    <row r="990" customFormat="false" ht="13.5" hidden="false" customHeight="true" outlineLevel="0" collapsed="false">
      <c r="A990" s="155"/>
      <c r="B990" s="155"/>
      <c r="C990" s="155"/>
      <c r="D990" s="155"/>
      <c r="E990" s="155"/>
      <c r="F990" s="155"/>
      <c r="G990" s="155"/>
      <c r="H990" s="155"/>
      <c r="I990" s="155"/>
      <c r="J990" s="155"/>
      <c r="K990" s="155"/>
      <c r="L990" s="155"/>
      <c r="M990" s="155"/>
      <c r="N990" s="155"/>
      <c r="O990" s="155"/>
      <c r="P990" s="155"/>
      <c r="Q990" s="155"/>
      <c r="R990" s="155"/>
      <c r="S990" s="155"/>
      <c r="T990" s="155"/>
      <c r="U990" s="155"/>
      <c r="V990" s="155"/>
      <c r="W990" s="155"/>
      <c r="X990" s="155"/>
      <c r="Y990" s="155"/>
      <c r="Z990" s="155"/>
    </row>
    <row r="991" customFormat="false" ht="13.5" hidden="false" customHeight="true" outlineLevel="0" collapsed="false">
      <c r="A991" s="155"/>
      <c r="B991" s="155"/>
      <c r="C991" s="155"/>
      <c r="D991" s="155"/>
      <c r="E991" s="155"/>
      <c r="F991" s="155"/>
      <c r="G991" s="155"/>
      <c r="H991" s="155"/>
      <c r="I991" s="155"/>
      <c r="J991" s="155"/>
      <c r="K991" s="155"/>
      <c r="L991" s="155"/>
      <c r="M991" s="155"/>
      <c r="N991" s="155"/>
      <c r="O991" s="155"/>
      <c r="P991" s="155"/>
      <c r="Q991" s="155"/>
      <c r="R991" s="155"/>
      <c r="S991" s="155"/>
      <c r="T991" s="155"/>
      <c r="U991" s="155"/>
      <c r="V991" s="155"/>
      <c r="W991" s="155"/>
      <c r="X991" s="155"/>
      <c r="Y991" s="155"/>
      <c r="Z991" s="155"/>
    </row>
    <row r="992" customFormat="false" ht="13.5" hidden="false" customHeight="true" outlineLevel="0" collapsed="false">
      <c r="A992" s="155"/>
      <c r="B992" s="155"/>
      <c r="C992" s="155"/>
      <c r="D992" s="155"/>
      <c r="E992" s="155"/>
      <c r="F992" s="155"/>
      <c r="G992" s="155"/>
      <c r="H992" s="155"/>
      <c r="I992" s="155"/>
      <c r="J992" s="155"/>
      <c r="K992" s="155"/>
      <c r="L992" s="155"/>
      <c r="M992" s="155"/>
      <c r="N992" s="155"/>
      <c r="O992" s="155"/>
      <c r="P992" s="155"/>
      <c r="Q992" s="155"/>
      <c r="R992" s="155"/>
      <c r="S992" s="155"/>
      <c r="T992" s="155"/>
      <c r="U992" s="155"/>
      <c r="V992" s="155"/>
      <c r="W992" s="155"/>
      <c r="X992" s="155"/>
      <c r="Y992" s="155"/>
      <c r="Z992" s="155"/>
    </row>
    <row r="993" customFormat="false" ht="13.5" hidden="false" customHeight="true" outlineLevel="0" collapsed="false">
      <c r="A993" s="155"/>
      <c r="B993" s="155"/>
      <c r="C993" s="155"/>
      <c r="D993" s="155"/>
      <c r="E993" s="155"/>
      <c r="F993" s="155"/>
      <c r="G993" s="155"/>
      <c r="H993" s="155"/>
      <c r="I993" s="155"/>
      <c r="J993" s="155"/>
      <c r="K993" s="155"/>
      <c r="L993" s="155"/>
      <c r="M993" s="155"/>
      <c r="N993" s="155"/>
      <c r="O993" s="155"/>
      <c r="P993" s="155"/>
      <c r="Q993" s="155"/>
      <c r="R993" s="155"/>
      <c r="S993" s="155"/>
      <c r="T993" s="155"/>
      <c r="U993" s="155"/>
      <c r="V993" s="155"/>
      <c r="W993" s="155"/>
      <c r="X993" s="155"/>
      <c r="Y993" s="155"/>
      <c r="Z993" s="155"/>
    </row>
    <row r="994" customFormat="false" ht="13.5" hidden="false" customHeight="true" outlineLevel="0" collapsed="false">
      <c r="A994" s="155"/>
      <c r="B994" s="155"/>
      <c r="C994" s="155"/>
      <c r="D994" s="155"/>
      <c r="E994" s="155"/>
      <c r="F994" s="155"/>
      <c r="G994" s="155"/>
      <c r="H994" s="155"/>
      <c r="I994" s="155"/>
      <c r="J994" s="155"/>
      <c r="K994" s="155"/>
      <c r="L994" s="155"/>
      <c r="M994" s="155"/>
      <c r="N994" s="155"/>
      <c r="O994" s="155"/>
      <c r="P994" s="155"/>
      <c r="Q994" s="155"/>
      <c r="R994" s="155"/>
      <c r="S994" s="155"/>
      <c r="T994" s="155"/>
      <c r="U994" s="155"/>
      <c r="V994" s="155"/>
      <c r="W994" s="155"/>
      <c r="X994" s="155"/>
      <c r="Y994" s="155"/>
      <c r="Z994" s="155"/>
    </row>
    <row r="995" customFormat="false" ht="13.5" hidden="false" customHeight="true" outlineLevel="0" collapsed="false">
      <c r="A995" s="155"/>
      <c r="B995" s="155"/>
      <c r="C995" s="155"/>
      <c r="D995" s="155"/>
      <c r="E995" s="155"/>
      <c r="F995" s="155"/>
      <c r="G995" s="155"/>
      <c r="H995" s="155"/>
      <c r="I995" s="155"/>
      <c r="J995" s="155"/>
      <c r="K995" s="155"/>
      <c r="L995" s="155"/>
      <c r="M995" s="155"/>
      <c r="N995" s="155"/>
      <c r="O995" s="155"/>
      <c r="P995" s="155"/>
      <c r="Q995" s="155"/>
      <c r="R995" s="155"/>
      <c r="S995" s="155"/>
      <c r="T995" s="155"/>
      <c r="U995" s="155"/>
      <c r="V995" s="155"/>
      <c r="W995" s="155"/>
      <c r="X995" s="155"/>
      <c r="Y995" s="155"/>
      <c r="Z995" s="155"/>
    </row>
    <row r="996" customFormat="false" ht="13.5" hidden="false" customHeight="true" outlineLevel="0" collapsed="false">
      <c r="A996" s="155"/>
      <c r="B996" s="155"/>
      <c r="C996" s="155"/>
      <c r="D996" s="155"/>
      <c r="E996" s="155"/>
      <c r="F996" s="155"/>
      <c r="G996" s="155"/>
      <c r="H996" s="155"/>
      <c r="I996" s="155"/>
      <c r="J996" s="155"/>
      <c r="K996" s="155"/>
      <c r="L996" s="155"/>
      <c r="M996" s="155"/>
      <c r="N996" s="155"/>
      <c r="O996" s="155"/>
      <c r="P996" s="155"/>
      <c r="Q996" s="155"/>
      <c r="R996" s="155"/>
      <c r="S996" s="155"/>
      <c r="T996" s="155"/>
      <c r="U996" s="155"/>
      <c r="V996" s="155"/>
      <c r="W996" s="155"/>
      <c r="X996" s="155"/>
      <c r="Y996" s="155"/>
      <c r="Z996" s="155"/>
    </row>
    <row r="997" customFormat="false" ht="13.5" hidden="false" customHeight="true" outlineLevel="0" collapsed="false">
      <c r="A997" s="155"/>
      <c r="B997" s="155"/>
      <c r="C997" s="155"/>
      <c r="D997" s="155"/>
      <c r="E997" s="155"/>
      <c r="F997" s="155"/>
      <c r="G997" s="155"/>
      <c r="H997" s="155"/>
      <c r="I997" s="155"/>
      <c r="J997" s="155"/>
      <c r="K997" s="155"/>
      <c r="L997" s="155"/>
      <c r="M997" s="155"/>
      <c r="N997" s="155"/>
      <c r="O997" s="155"/>
      <c r="P997" s="155"/>
      <c r="Q997" s="155"/>
      <c r="R997" s="155"/>
      <c r="S997" s="155"/>
      <c r="T997" s="155"/>
      <c r="U997" s="155"/>
      <c r="V997" s="155"/>
      <c r="W997" s="155"/>
      <c r="X997" s="155"/>
      <c r="Y997" s="155"/>
      <c r="Z997" s="155"/>
    </row>
    <row r="998" customFormat="false" ht="13.5" hidden="false" customHeight="true" outlineLevel="0" collapsed="false">
      <c r="A998" s="155"/>
      <c r="B998" s="155"/>
      <c r="C998" s="155"/>
      <c r="D998" s="155"/>
      <c r="E998" s="155"/>
      <c r="F998" s="155"/>
      <c r="G998" s="155"/>
      <c r="H998" s="155"/>
      <c r="I998" s="155"/>
      <c r="J998" s="155"/>
      <c r="K998" s="155"/>
      <c r="L998" s="155"/>
      <c r="M998" s="155"/>
      <c r="N998" s="155"/>
      <c r="O998" s="155"/>
      <c r="P998" s="155"/>
      <c r="Q998" s="155"/>
      <c r="R998" s="155"/>
      <c r="S998" s="155"/>
      <c r="T998" s="155"/>
      <c r="U998" s="155"/>
      <c r="V998" s="155"/>
      <c r="W998" s="155"/>
      <c r="X998" s="155"/>
      <c r="Y998" s="155"/>
      <c r="Z998" s="155"/>
    </row>
    <row r="999" customFormat="false" ht="13.5" hidden="false" customHeight="true" outlineLevel="0" collapsed="false">
      <c r="A999" s="155"/>
      <c r="B999" s="155"/>
      <c r="C999" s="155"/>
      <c r="D999" s="155"/>
      <c r="E999" s="155"/>
      <c r="F999" s="155"/>
      <c r="G999" s="155"/>
      <c r="H999" s="155"/>
      <c r="I999" s="155"/>
      <c r="J999" s="155"/>
      <c r="K999" s="155"/>
      <c r="L999" s="155"/>
      <c r="M999" s="155"/>
      <c r="N999" s="155"/>
      <c r="O999" s="155"/>
      <c r="P999" s="155"/>
      <c r="Q999" s="155"/>
      <c r="R999" s="155"/>
      <c r="S999" s="155"/>
      <c r="T999" s="155"/>
      <c r="U999" s="155"/>
      <c r="V999" s="155"/>
      <c r="W999" s="155"/>
      <c r="X999" s="155"/>
      <c r="Y999" s="155"/>
      <c r="Z999" s="155"/>
    </row>
  </sheetData>
  <mergeCells count="22">
    <mergeCell ref="A1:E1"/>
    <mergeCell ref="A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A17:E17"/>
    <mergeCell ref="A18:E18"/>
    <mergeCell ref="A27:E27"/>
    <mergeCell ref="A51:E51"/>
    <mergeCell ref="A67:E67"/>
    <mergeCell ref="A68:E68"/>
    <mergeCell ref="A85:E85"/>
  </mergeCells>
  <conditionalFormatting sqref="B70:B82">
    <cfRule type="cellIs" priority="2" operator="lessThan" aboveAverage="0" equalAverage="0" bottom="0" percent="0" rank="0" text="" dxfId="15">
      <formula>0</formula>
    </cfRule>
    <cfRule type="cellIs" priority="3" operator="greaterThan" aboveAverage="0" equalAverage="0" bottom="0" percent="0" rank="0" text="" dxfId="16">
      <formula>0</formula>
    </cfRule>
  </conditionalFormatting>
  <conditionalFormatting sqref="B40:D40">
    <cfRule type="cellIs" priority="4" operator="lessThan" aboveAverage="0" equalAverage="0" bottom="0" percent="0" rank="0" text="" dxfId="17">
      <formula>0</formula>
    </cfRule>
    <cfRule type="cellIs" priority="5" operator="lessThan" aboveAverage="0" equalAverage="0" bottom="0" percent="0" rank="0" text="" dxfId="15">
      <formula>0</formula>
    </cfRule>
    <cfRule type="cellIs" priority="6" operator="greaterThan" aboveAverage="0" equalAverage="0" bottom="0" percent="0" rank="0" text="" dxfId="16">
      <formula>0</formula>
    </cfRule>
  </conditionalFormatting>
  <conditionalFormatting sqref="B47:D47">
    <cfRule type="cellIs" priority="7" operator="lessThan" aboveAverage="0" equalAverage="0" bottom="0" percent="0" rank="0" text="" dxfId="17">
      <formula>0</formula>
    </cfRule>
    <cfRule type="cellIs" priority="8" operator="lessThan" aboveAverage="0" equalAverage="0" bottom="0" percent="0" rank="0" text="" dxfId="15">
      <formula>0</formula>
    </cfRule>
    <cfRule type="cellIs" priority="9" operator="greaterThan" aboveAverage="0" equalAverage="0" bottom="0" percent="0" rank="0" text="" dxfId="16">
      <formula>0</formula>
    </cfRule>
  </conditionalFormatting>
  <conditionalFormatting sqref="B60:E65">
    <cfRule type="cellIs" priority="10" operator="lessThan" aboveAverage="0" equalAverage="0" bottom="0" percent="0" rank="0" text="" dxfId="15">
      <formula>0</formula>
    </cfRule>
    <cfRule type="cellIs" priority="11" operator="greaterThan" aboveAverage="0" equalAverage="0" bottom="0" percent="0" rank="0" text="" dxfId="16">
      <formula>0</formula>
    </cfRule>
  </conditionalFormatting>
  <conditionalFormatting sqref="C60:E61">
    <cfRule type="cellIs" priority="12" operator="lessThan" aboveAverage="0" equalAverage="0" bottom="0" percent="0" rank="0" text="" dxfId="17">
      <formula>0</formula>
    </cfRule>
  </conditionalFormatting>
  <conditionalFormatting sqref="E70:E73">
    <cfRule type="expression" priority="13" aboveAverage="0" equalAverage="0" bottom="0" percent="0" rank="0" text="" dxfId="18">
      <formula>OR(LEFT(E70,2)="CÓ",LEFT(E70,3)="TỐT")</formula>
    </cfRule>
    <cfRule type="expression" priority="14" aboveAverage="0" equalAverage="0" bottom="0" percent="0" rank="0" text="" dxfId="15">
      <formula>OR(LEFT(E70,4)="CHƯA",LEFT(E70,8)="CẢNH BÁO")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false" showRowColHeaders="true" showZeros="true" rightToLeft="false" tabSelected="true" showOutlineSymbols="true" defaultGridColor="true" view="normal" topLeftCell="I14" colorId="64" zoomScale="81" zoomScaleNormal="81" zoomScalePageLayoutView="100" workbookViewId="0">
      <selection pane="topLeft" activeCell="E4" activeCellId="0" sqref="E4"/>
    </sheetView>
  </sheetViews>
  <sheetFormatPr defaultColWidth="12.6328125" defaultRowHeight="14.2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13"/>
    <col collapsed="false" customWidth="true" hidden="false" outlineLevel="0" max="6" min="6" style="0" width="24.63"/>
    <col collapsed="false" customWidth="true" hidden="false" outlineLevel="0" max="7" min="7" style="0" width="25.09"/>
    <col collapsed="false" customWidth="true" hidden="false" outlineLevel="0" max="8" min="8" style="0" width="25.63"/>
    <col collapsed="false" customWidth="true" hidden="false" outlineLevel="0" max="9" min="9" style="0" width="14"/>
    <col collapsed="false" customWidth="true" hidden="false" outlineLevel="0" max="10" min="10" style="0" width="21.73"/>
    <col collapsed="false" customWidth="true" hidden="false" outlineLevel="0" max="11" min="11" style="0" width="22.63"/>
    <col collapsed="false" customWidth="true" hidden="false" outlineLevel="0" max="12" min="12" style="0" width="25.54"/>
    <col collapsed="false" customWidth="true" hidden="false" outlineLevel="0" max="15" min="13" style="0" width="13"/>
    <col collapsed="false" customWidth="true" hidden="false" outlineLevel="0" max="16" min="16" style="0" width="38"/>
    <col collapsed="false" customWidth="true" hidden="false" outlineLevel="0" max="26" min="17" style="0" width="8.63"/>
  </cols>
  <sheetData>
    <row r="1" customFormat="false" ht="34.5" hidden="false" customHeight="true" outlineLevel="0" collapsed="false">
      <c r="A1" s="189"/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7" hidden="false" customHeight="true" outlineLevel="0" collapsed="false">
      <c r="A2" s="190" t="s">
        <v>639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48" hidden="false" customHeight="true" outlineLevel="0" collapsed="false">
      <c r="A3" s="146" t="s">
        <v>640</v>
      </c>
      <c r="B3" s="146" t="s">
        <v>641</v>
      </c>
      <c r="C3" s="146" t="s">
        <v>642</v>
      </c>
      <c r="D3" s="146" t="s">
        <v>643</v>
      </c>
      <c r="E3" s="146" t="s">
        <v>644</v>
      </c>
      <c r="F3" s="146" t="s">
        <v>645</v>
      </c>
      <c r="G3" s="146" t="s">
        <v>646</v>
      </c>
      <c r="H3" s="146" t="s">
        <v>647</v>
      </c>
      <c r="I3" s="146" t="s">
        <v>648</v>
      </c>
      <c r="J3" s="146" t="s">
        <v>649</v>
      </c>
      <c r="K3" s="146" t="s">
        <v>650</v>
      </c>
      <c r="L3" s="146" t="s">
        <v>651</v>
      </c>
      <c r="M3" s="146" t="s">
        <v>652</v>
      </c>
      <c r="N3" s="146" t="s">
        <v>653</v>
      </c>
      <c r="O3" s="146" t="s">
        <v>654</v>
      </c>
      <c r="P3" s="146" t="s">
        <v>8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63.75" hidden="false" customHeight="true" outlineLevel="0" collapsed="false">
      <c r="A4" s="191" t="s">
        <v>655</v>
      </c>
      <c r="B4" s="191" t="s">
        <v>656</v>
      </c>
      <c r="C4" s="192" t="n">
        <v>0</v>
      </c>
      <c r="D4" s="193" t="s">
        <v>657</v>
      </c>
      <c r="E4" s="194" t="n">
        <v>0</v>
      </c>
      <c r="F4" s="192" t="n">
        <v>0</v>
      </c>
      <c r="G4" s="195" t="n">
        <f aca="false">MAX(0,'DIA_Giả Định'!$N$6-('DIA_Giả Định'!$N$6*'DIA_Giả Định'!$N$8))</f>
        <v>38400</v>
      </c>
      <c r="H4" s="195" t="n">
        <f aca="false">MAX(0,'DIA_Giả Định'!$O$6-('DIA_Giả Định'!$O$6*'DIA_Giả Định'!$O$8))</f>
        <v>47500</v>
      </c>
      <c r="I4" s="195" t="n">
        <f aca="false">MAX(0,'DIA_Giả Định'!$P$6-('DIA_Giả Định'!$P$6*'DIA_Giả Định'!$P$8))</f>
        <v>65800</v>
      </c>
      <c r="J4" s="196" t="n">
        <v>0</v>
      </c>
      <c r="K4" s="196" t="n">
        <v>0</v>
      </c>
      <c r="L4" s="196" t="n">
        <v>0</v>
      </c>
      <c r="M4" s="197" t="n">
        <f aca="false">IFERROR(J4/$F$20,0)</f>
        <v>0</v>
      </c>
      <c r="N4" s="197" t="n">
        <f aca="false">IFERROR(K4/$G$20,0)</f>
        <v>0</v>
      </c>
      <c r="O4" s="197" t="n">
        <f aca="false">IFERROR(L4/$H$20,0)</f>
        <v>0</v>
      </c>
      <c r="P4" s="191" t="s">
        <v>658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48" hidden="false" customHeight="true" outlineLevel="0" collapsed="false">
      <c r="A5" s="191" t="s">
        <v>659</v>
      </c>
      <c r="B5" s="191" t="s">
        <v>656</v>
      </c>
      <c r="C5" s="198" t="n">
        <f aca="false">'DIA_Giả Định'!$N$35</f>
        <v>39000</v>
      </c>
      <c r="D5" s="199" t="s">
        <v>660</v>
      </c>
      <c r="E5" s="200" t="n">
        <v>0</v>
      </c>
      <c r="F5" s="198" t="n">
        <f aca="false">'DIA_Giả Định'!$N$35</f>
        <v>39000</v>
      </c>
      <c r="G5" s="195" t="n">
        <f aca="false">('DIA_Giả Định'!$N$6*'DIA_Giả Định'!$N$8)*'DIA_Giả Định'!$N$9</f>
        <v>1120</v>
      </c>
      <c r="H5" s="195" t="n">
        <f aca="false">('DIA_Giả Định'!$O$6*'DIA_Giả Định'!$O$8)*'DIA_Giả Định'!$O$9</f>
        <v>1625</v>
      </c>
      <c r="I5" s="195" t="n">
        <f aca="false">('DIA_Giả Định'!$P$6*'DIA_Giả Định'!$P$8)*'DIA_Giả Định'!$P$9</f>
        <v>2520</v>
      </c>
      <c r="J5" s="196" t="n">
        <f aca="false">G5*'DIA_Giả Định'!$N$35*'DIA_Giả Định'!$N$5</f>
        <v>524160000</v>
      </c>
      <c r="K5" s="196" t="n">
        <f aca="false">H5*'DIA_Giả Định'!$O$35*'DIA_Giả Định'!$O$5</f>
        <v>840124350</v>
      </c>
      <c r="L5" s="196" t="n">
        <f aca="false">I5*'DIA_Giả Định'!$P$35*'DIA_Giả Định'!$P$5</f>
        <v>1439246234.4624</v>
      </c>
      <c r="M5" s="197" t="n">
        <f aca="false">IFERROR(J5/$F$20,0)</f>
        <v>0.527085323545679</v>
      </c>
      <c r="N5" s="197" t="n">
        <f aca="false">IFERROR(K5/$G$20,0)</f>
        <v>0.416054141146353</v>
      </c>
      <c r="O5" s="197" t="n">
        <f aca="false">IFERROR(L5/$H$20,0)</f>
        <v>0.354391574487476</v>
      </c>
      <c r="P5" s="191" t="s">
        <v>661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63.75" hidden="false" customHeight="true" outlineLevel="0" collapsed="false">
      <c r="A6" s="191" t="s">
        <v>662</v>
      </c>
      <c r="B6" s="191" t="s">
        <v>656</v>
      </c>
      <c r="C6" s="198" t="n">
        <f aca="false">'DIA_Giả Định'!$N$36</f>
        <v>399000</v>
      </c>
      <c r="D6" s="199" t="s">
        <v>663</v>
      </c>
      <c r="E6" s="201" t="n">
        <f aca="false">IFERROR(1-'DIA_Giả Định'!$N$36/('DIA_Giả Định'!$N$35*'DIA_Giả Định'!$N$5),0)</f>
        <v>0.147435897435897</v>
      </c>
      <c r="F6" s="198" t="n">
        <f aca="false">'DIA_Giả Định'!$N$36</f>
        <v>399000</v>
      </c>
      <c r="G6" s="195" t="n">
        <f aca="false">('DIA_Giả Định'!$N$6*'DIA_Giả Định'!$N$8)*'DIA_Giả Định'!$N$10</f>
        <v>480</v>
      </c>
      <c r="H6" s="195" t="n">
        <f aca="false">('DIA_Giả Định'!$O$6*'DIA_Giả Định'!$O$8)*'DIA_Giả Định'!$O$10</f>
        <v>875</v>
      </c>
      <c r="I6" s="195" t="n">
        <f aca="false">('DIA_Giả Định'!$P$6*'DIA_Giả Định'!$P$8)*'DIA_Giả Định'!$P$10</f>
        <v>1680</v>
      </c>
      <c r="J6" s="196" t="n">
        <f aca="false">G6*'DIA_Giả Định'!$N$36</f>
        <v>191520000</v>
      </c>
      <c r="K6" s="196" t="n">
        <f aca="false">H6*'DIA_Giả Định'!$O$36</f>
        <v>384037500</v>
      </c>
      <c r="L6" s="196" t="n">
        <f aca="false">I6*'DIA_Giả Định'!$P$36</f>
        <v>811087200</v>
      </c>
      <c r="M6" s="197" t="n">
        <f aca="false">IFERROR(J6/$F$20,0)</f>
        <v>0.192588868218613</v>
      </c>
      <c r="N6" s="197" t="n">
        <f aca="false">IFERROR(K6/$G$20,0)</f>
        <v>0.190186598246429</v>
      </c>
      <c r="O6" s="197" t="n">
        <f aca="false">IFERROR(L6/$H$20,0)</f>
        <v>0.199717368002707</v>
      </c>
      <c r="P6" s="191" t="s">
        <v>664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48" hidden="false" customHeight="true" outlineLevel="0" collapsed="false">
      <c r="A7" s="191" t="s">
        <v>665</v>
      </c>
      <c r="B7" s="191" t="s">
        <v>666</v>
      </c>
      <c r="C7" s="198" t="n">
        <f aca="false">'DIA_Giả Định'!$N$37</f>
        <v>899000</v>
      </c>
      <c r="D7" s="199" t="s">
        <v>660</v>
      </c>
      <c r="E7" s="200" t="n">
        <v>0</v>
      </c>
      <c r="F7" s="198" t="n">
        <f aca="false">'DIA_Giả Định'!$N$37</f>
        <v>899000</v>
      </c>
      <c r="G7" s="195" t="n">
        <f aca="false">'DIA_Giả Định'!$N$26*'DIA_Giả Định'!$N$30</f>
        <v>2.5</v>
      </c>
      <c r="H7" s="195" t="n">
        <f aca="false">'DIA_Giả Định'!$N$26+'DIA_Giả Định'!$O$28*'DIA_Giả Định'!$O$30</f>
        <v>10</v>
      </c>
      <c r="I7" s="195" t="n">
        <f aca="false">'DIA_Giả Định'!$O$26+'DIA_Giả Định'!$P$28*'DIA_Giả Định'!$P$30</f>
        <v>25</v>
      </c>
      <c r="J7" s="196" t="n">
        <f aca="false">G7*'DIA_Giả Định'!$N$37*'DIA_Giả Định'!$N$5</f>
        <v>26970000</v>
      </c>
      <c r="K7" s="196" t="n">
        <f aca="false">H7*'DIA_Giả Định'!$O$37*'DIA_Giả Định'!$O$5</f>
        <v>119175036</v>
      </c>
      <c r="L7" s="196" t="n">
        <f aca="false">I7*'DIA_Giả Định'!$P$37*'DIA_Giả Định'!$P$5</f>
        <v>329131655.673</v>
      </c>
      <c r="M7" s="197" t="n">
        <f aca="false">IFERROR(J7/$F$20,0)</f>
        <v>0.0271205188797828</v>
      </c>
      <c r="N7" s="197" t="n">
        <f aca="false">IFERROR(K7/$G$20,0)</f>
        <v>0.0590189621918061</v>
      </c>
      <c r="O7" s="197" t="n">
        <f aca="false">IFERROR(L7/$H$20,0)</f>
        <v>0.0810434537709199</v>
      </c>
      <c r="P7" s="191" t="s">
        <v>667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48" hidden="false" customHeight="true" outlineLevel="0" collapsed="false">
      <c r="A8" s="191" t="s">
        <v>668</v>
      </c>
      <c r="B8" s="191" t="s">
        <v>666</v>
      </c>
      <c r="C8" s="198" t="n">
        <f aca="false">'DIA_Giả Định'!$N$38</f>
        <v>8900000</v>
      </c>
      <c r="D8" s="199" t="s">
        <v>660</v>
      </c>
      <c r="E8" s="200" t="n">
        <v>0</v>
      </c>
      <c r="F8" s="198" t="n">
        <f aca="false">'DIA_Giả Định'!$N$38</f>
        <v>8900000</v>
      </c>
      <c r="G8" s="195" t="n">
        <f aca="false">'DIA_Giả Định'!$N$25*'DIA_Giả Định'!$N$30</f>
        <v>1</v>
      </c>
      <c r="H8" s="195" t="n">
        <f aca="false">'DIA_Giả Định'!$N$25+'DIA_Giả Định'!$O$27*'DIA_Giả Định'!$O$30</f>
        <v>3.5</v>
      </c>
      <c r="I8" s="195" t="n">
        <f aca="false">'DIA_Giả Định'!$O$25+'DIA_Giả Định'!$P$27*'DIA_Giả Định'!$P$30</f>
        <v>7.5</v>
      </c>
      <c r="J8" s="196" t="n">
        <f aca="false">G8*'DIA_Giả Định'!$N$38*'DIA_Giả Định'!$N$5</f>
        <v>106800000</v>
      </c>
      <c r="K8" s="196" t="n">
        <f aca="false">H8*'DIA_Giả Định'!$O$38*'DIA_Giả Định'!$O$5</f>
        <v>411180000</v>
      </c>
      <c r="L8" s="196" t="n">
        <f aca="false">I8*'DIA_Giả Định'!$P$38*'DIA_Giả Định'!$P$5</f>
        <v>969210000</v>
      </c>
      <c r="M8" s="197" t="n">
        <f aca="false">IFERROR(J8/$F$20,0)</f>
        <v>0.107396048066771</v>
      </c>
      <c r="N8" s="197" t="n">
        <f aca="false">IFERROR(K8/$G$20,0)</f>
        <v>0.203628357821741</v>
      </c>
      <c r="O8" s="197" t="n">
        <f aca="false">IFERROR(L8/$H$20,0)</f>
        <v>0.238652601399583</v>
      </c>
      <c r="P8" s="191" t="s">
        <v>669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48" hidden="false" customHeight="true" outlineLevel="0" collapsed="false">
      <c r="A9" s="191" t="s">
        <v>670</v>
      </c>
      <c r="B9" s="191" t="s">
        <v>671</v>
      </c>
      <c r="C9" s="198" t="n">
        <f aca="false">IFERROR(('DIA_Giả Định'!$N$27*'DIA_Giả Định'!$N$39)/'DIA_Giả Định'!$N$29,0)</f>
        <v>8571428.57142857</v>
      </c>
      <c r="D9" s="199" t="s">
        <v>672</v>
      </c>
      <c r="E9" s="200" t="n">
        <v>0</v>
      </c>
      <c r="F9" s="198" t="n">
        <f aca="false">C9</f>
        <v>8571428.57142857</v>
      </c>
      <c r="G9" s="195" t="n">
        <f aca="false">'DIA_Giả Định'!$N$27</f>
        <v>2</v>
      </c>
      <c r="H9" s="195" t="n">
        <f aca="false">'DIA_Giả Định'!$O$27</f>
        <v>3</v>
      </c>
      <c r="I9" s="195" t="n">
        <f aca="false">'DIA_Giả Định'!$P$27</f>
        <v>5</v>
      </c>
      <c r="J9" s="196" t="n">
        <f aca="false">'DIA_Giả Định'!$N$27*'DIA_Giả Định'!$N$39</f>
        <v>60000000</v>
      </c>
      <c r="K9" s="196" t="n">
        <f aca="false">'DIA_Giả Định'!$O$27*'DIA_Giả Định'!$O$39</f>
        <v>90000000</v>
      </c>
      <c r="L9" s="196" t="n">
        <f aca="false">'DIA_Giả Định'!$P$27*'DIA_Giả Định'!$P$39</f>
        <v>150000000</v>
      </c>
      <c r="M9" s="197" t="n">
        <f aca="false">IFERROR(J9/$F$20,0)</f>
        <v>0.0603348584644779</v>
      </c>
      <c r="N9" s="197" t="n">
        <f aca="false">IFERROR(K9/$G$20,0)</f>
        <v>0.0445706313632878</v>
      </c>
      <c r="O9" s="197" t="n">
        <f aca="false">IFERROR(L9/$H$20,0)</f>
        <v>0.0369351226358967</v>
      </c>
      <c r="P9" s="191" t="s">
        <v>673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48" hidden="false" customHeight="true" outlineLevel="0" collapsed="false">
      <c r="A10" s="191" t="s">
        <v>674</v>
      </c>
      <c r="B10" s="191" t="s">
        <v>671</v>
      </c>
      <c r="C10" s="198" t="n">
        <f aca="false">IFERROR(('DIA_Giả Định'!$N$28*'DIA_Giả Định'!$N$40)/'DIA_Giả Định'!$N$29,0)</f>
        <v>7142857.14285714</v>
      </c>
      <c r="D10" s="199" t="s">
        <v>672</v>
      </c>
      <c r="E10" s="200" t="n">
        <v>0</v>
      </c>
      <c r="F10" s="198" t="n">
        <f aca="false">C10</f>
        <v>7142857.14285714</v>
      </c>
      <c r="G10" s="195" t="n">
        <f aca="false">'DIA_Giả Định'!$N$28</f>
        <v>5</v>
      </c>
      <c r="H10" s="195" t="n">
        <f aca="false">'DIA_Giả Định'!$O$28</f>
        <v>10</v>
      </c>
      <c r="I10" s="195" t="n">
        <f aca="false">'DIA_Giả Định'!$P$28</f>
        <v>20</v>
      </c>
      <c r="J10" s="196" t="n">
        <f aca="false">'DIA_Giả Định'!$N$28*'DIA_Giả Định'!$N$40</f>
        <v>50000000</v>
      </c>
      <c r="K10" s="196" t="n">
        <f aca="false">'DIA_Giả Định'!$O$28*'DIA_Giả Định'!$O$40</f>
        <v>100000000</v>
      </c>
      <c r="L10" s="196" t="n">
        <f aca="false">'DIA_Giả Định'!$P$28*'DIA_Giả Định'!$P$40</f>
        <v>200000000</v>
      </c>
      <c r="M10" s="197" t="n">
        <f aca="false">IFERROR(J10/$F$20,0)</f>
        <v>0.0502790487203982</v>
      </c>
      <c r="N10" s="197" t="n">
        <f aca="false">IFERROR(K10/$G$20,0)</f>
        <v>0.0495229237369864</v>
      </c>
      <c r="O10" s="197" t="n">
        <f aca="false">IFERROR(L10/$H$20,0)</f>
        <v>0.0492468301811957</v>
      </c>
      <c r="P10" s="191" t="s">
        <v>673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2.25" hidden="false" customHeight="true" outlineLevel="0" collapsed="false">
      <c r="A11" s="191" t="s">
        <v>675</v>
      </c>
      <c r="B11" s="191" t="s">
        <v>671</v>
      </c>
      <c r="C11" s="198" t="n">
        <f aca="false">'DIA_Giả Định'!$N$41</f>
        <v>2000000</v>
      </c>
      <c r="D11" s="199" t="s">
        <v>672</v>
      </c>
      <c r="E11" s="200" t="n">
        <v>0</v>
      </c>
      <c r="F11" s="198" t="n">
        <f aca="false">'DIA_Giả Định'!$N$41</f>
        <v>2000000</v>
      </c>
      <c r="G11" s="195" t="n">
        <f aca="false">'DIA_Giả Định'!$N$29</f>
        <v>7</v>
      </c>
      <c r="H11" s="195" t="n">
        <f aca="false">'DIA_Giả Định'!$O$29</f>
        <v>13</v>
      </c>
      <c r="I11" s="195" t="n">
        <f aca="false">'DIA_Giả Định'!$P$29</f>
        <v>25</v>
      </c>
      <c r="J11" s="196" t="n">
        <f aca="false">G11*'DIA_Giả Định'!$N$41</f>
        <v>14000000</v>
      </c>
      <c r="K11" s="196" t="n">
        <f aca="false">H11*'DIA_Giả Định'!$O$41</f>
        <v>26000000</v>
      </c>
      <c r="L11" s="196" t="n">
        <f aca="false">I11*'DIA_Giả Định'!$P$41</f>
        <v>50000000</v>
      </c>
      <c r="M11" s="197" t="n">
        <f aca="false">IFERROR(J11/$F$20,0)</f>
        <v>0.0140781336417115</v>
      </c>
      <c r="N11" s="197" t="n">
        <f aca="false">IFERROR(K11/$G$20,0)</f>
        <v>0.0128759601716165</v>
      </c>
      <c r="O11" s="197" t="n">
        <f aca="false">IFERROR(L11/$H$20,0)</f>
        <v>0.0123117075452989</v>
      </c>
      <c r="P11" s="191" t="s">
        <v>676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48" hidden="false" customHeight="true" outlineLevel="0" collapsed="false">
      <c r="A12" s="191" t="s">
        <v>677</v>
      </c>
      <c r="B12" s="191" t="s">
        <v>678</v>
      </c>
      <c r="C12" s="198" t="n">
        <f aca="false">'DIA_Giả Định'!$N$42</f>
        <v>15000000</v>
      </c>
      <c r="D12" s="199" t="s">
        <v>672</v>
      </c>
      <c r="E12" s="200" t="n">
        <v>0</v>
      </c>
      <c r="F12" s="198" t="n">
        <f aca="false">'DIA_Giả Định'!$N$42</f>
        <v>15000000</v>
      </c>
      <c r="G12" s="195" t="n">
        <f aca="false">'DIA_Giả Định'!$N$29*'DIA_Giả Định'!$N$43</f>
        <v>1.4</v>
      </c>
      <c r="H12" s="195" t="n">
        <f aca="false">'DIA_Giả Định'!$O$29*'DIA_Giả Định'!$O$43</f>
        <v>3.25</v>
      </c>
      <c r="I12" s="195" t="n">
        <f aca="false">'DIA_Giả Định'!$P$29*'DIA_Giả Định'!$P$43</f>
        <v>7.5</v>
      </c>
      <c r="J12" s="196" t="n">
        <f aca="false">G12*'DIA_Giả Định'!$N$42</f>
        <v>21000000</v>
      </c>
      <c r="K12" s="196" t="n">
        <f aca="false">H12*'DIA_Giả Định'!$O$42</f>
        <v>48750000</v>
      </c>
      <c r="L12" s="196" t="n">
        <f aca="false">I12*'DIA_Giả Định'!$P$42</f>
        <v>112500000</v>
      </c>
      <c r="M12" s="197" t="n">
        <f aca="false">IFERROR(J12/$F$20,0)</f>
        <v>0.0211172004625673</v>
      </c>
      <c r="N12" s="197" t="n">
        <f aca="false">IFERROR(K12/$G$20,0)</f>
        <v>0.0241424253217809</v>
      </c>
      <c r="O12" s="197" t="n">
        <f aca="false">IFERROR(L12/$H$20,0)</f>
        <v>0.0277013419769226</v>
      </c>
      <c r="P12" s="191" t="s">
        <v>679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3.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7.25" hidden="false" customHeight="true" outlineLevel="0" collapsed="false">
      <c r="A14" s="202" t="s">
        <v>680</v>
      </c>
      <c r="B14" s="202"/>
      <c r="C14" s="202"/>
      <c r="D14" s="202"/>
      <c r="E14" s="202"/>
      <c r="F14" s="136" t="s">
        <v>468</v>
      </c>
      <c r="G14" s="136" t="s">
        <v>470</v>
      </c>
      <c r="H14" s="136" t="s">
        <v>472</v>
      </c>
      <c r="I14" s="203"/>
      <c r="J14" s="203"/>
      <c r="K14" s="203"/>
      <c r="L14" s="203"/>
      <c r="M14" s="203"/>
      <c r="N14" s="203"/>
      <c r="O14" s="203"/>
      <c r="P14" s="20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7.25" hidden="false" customHeight="true" outlineLevel="0" collapsed="false">
      <c r="A15" s="204" t="s">
        <v>681</v>
      </c>
      <c r="B15" s="204"/>
      <c r="C15" s="204"/>
      <c r="D15" s="204"/>
      <c r="E15" s="204"/>
      <c r="F15" s="205" t="n">
        <f aca="false">SUM(J5:J6)</f>
        <v>715680000</v>
      </c>
      <c r="G15" s="205" t="n">
        <f aca="false">SUM(K5:K6)</f>
        <v>1224161850</v>
      </c>
      <c r="H15" s="205" t="n">
        <f aca="false">SUM(L5:L6)</f>
        <v>2250333434.4624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7.25" hidden="false" customHeight="true" outlineLevel="0" collapsed="false">
      <c r="A16" s="191" t="s">
        <v>682</v>
      </c>
      <c r="B16" s="191"/>
      <c r="C16" s="191"/>
      <c r="D16" s="191"/>
      <c r="E16" s="191"/>
      <c r="F16" s="196" t="n">
        <f aca="false">SUM(J7:J8)</f>
        <v>133770000</v>
      </c>
      <c r="G16" s="196" t="n">
        <f aca="false">SUM(K7:K8)</f>
        <v>530355036</v>
      </c>
      <c r="H16" s="196" t="n">
        <f aca="false">SUM(L7:L8)</f>
        <v>1298341655.673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7.25" hidden="false" customHeight="true" outlineLevel="0" collapsed="false">
      <c r="A17" s="191" t="s">
        <v>683</v>
      </c>
      <c r="B17" s="191"/>
      <c r="C17" s="191"/>
      <c r="D17" s="191"/>
      <c r="E17" s="191"/>
      <c r="F17" s="196" t="n">
        <f aca="false">J9</f>
        <v>60000000</v>
      </c>
      <c r="G17" s="196" t="n">
        <f aca="false">K9</f>
        <v>90000000</v>
      </c>
      <c r="H17" s="196" t="n">
        <f aca="false">L9</f>
        <v>150000000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7.25" hidden="false" customHeight="true" outlineLevel="0" collapsed="false">
      <c r="A18" s="191" t="s">
        <v>684</v>
      </c>
      <c r="B18" s="191"/>
      <c r="C18" s="191"/>
      <c r="D18" s="191"/>
      <c r="E18" s="191"/>
      <c r="F18" s="196" t="n">
        <f aca="false">J10</f>
        <v>50000000</v>
      </c>
      <c r="G18" s="196" t="n">
        <f aca="false">K10</f>
        <v>100000000</v>
      </c>
      <c r="H18" s="196" t="n">
        <f aca="false">L10</f>
        <v>200000000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7.25" hidden="false" customHeight="true" outlineLevel="0" collapsed="false">
      <c r="A19" s="191" t="s">
        <v>685</v>
      </c>
      <c r="B19" s="191"/>
      <c r="C19" s="191"/>
      <c r="D19" s="191"/>
      <c r="E19" s="191"/>
      <c r="F19" s="196" t="n">
        <f aca="false">SUM(J11:J12)</f>
        <v>35000000</v>
      </c>
      <c r="G19" s="196" t="n">
        <f aca="false">SUM(K11:K12)</f>
        <v>74750000</v>
      </c>
      <c r="H19" s="196" t="n">
        <f aca="false">SUM(L11:L12)</f>
        <v>162500000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7.25" hidden="false" customHeight="true" outlineLevel="0" collapsed="false">
      <c r="A20" s="206" t="s">
        <v>548</v>
      </c>
      <c r="B20" s="206"/>
      <c r="C20" s="206"/>
      <c r="D20" s="206"/>
      <c r="E20" s="206"/>
      <c r="F20" s="207" t="n">
        <f aca="false">SUM(F15:F19)</f>
        <v>994450000</v>
      </c>
      <c r="G20" s="207" t="n">
        <f aca="false">SUM(G15:G19)</f>
        <v>2019266886</v>
      </c>
      <c r="H20" s="207" t="n">
        <f aca="false">SUM(H15:H19)</f>
        <v>4061175090.1354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7.25" hidden="false" customHeight="true" outlineLevel="0" collapsed="false">
      <c r="A21" s="191" t="s">
        <v>686</v>
      </c>
      <c r="B21" s="191"/>
      <c r="C21" s="191"/>
      <c r="D21" s="191"/>
      <c r="E21" s="191"/>
      <c r="F21" s="196" t="n">
        <f aca="false">IFERROR(F15/('DIA_Giả Định'!$N$6*'DIA_Giả Định'!$N$8*'DIA_Giả Định'!$N$5),0)</f>
        <v>37275</v>
      </c>
      <c r="G21" s="196" t="n">
        <f aca="false">IFERROR(G15/('DIA_Giả Định'!$O$6*'DIA_Giả Định'!$O$8*'DIA_Giả Định'!$O$5),0)</f>
        <v>40805.395</v>
      </c>
      <c r="H21" s="196" t="n">
        <f aca="false">IFERROR(H15/('DIA_Giả Định'!$P$6*'DIA_Giả Định'!$P$8*'DIA_Giả Định'!$P$5),0)</f>
        <v>44649.472906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32.25" hidden="false" customHeight="true" outlineLevel="0" collapsed="false">
      <c r="A22" s="191" t="s">
        <v>687</v>
      </c>
      <c r="B22" s="191"/>
      <c r="C22" s="191"/>
      <c r="D22" s="191"/>
      <c r="E22" s="191"/>
      <c r="F22" s="196" t="n">
        <f aca="false">IFERROR(F16/((G7)*'DIA_Giả Định'!$N$5),0)</f>
        <v>4459000</v>
      </c>
      <c r="G22" s="196" t="n">
        <f aca="false">IFERROR(G16/((H7)*'DIA_Giả Định'!$O$5),0)</f>
        <v>4419625.3</v>
      </c>
      <c r="H22" s="196" t="n">
        <f aca="false">IFERROR(H16/((I7)*'DIA_Giả Định'!$P$5),0)</f>
        <v>4327805.51891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7.25" hidden="false" customHeight="true" outlineLevel="0" collapsed="false">
      <c r="A23" s="191" t="s">
        <v>688</v>
      </c>
      <c r="B23" s="191"/>
      <c r="C23" s="191"/>
      <c r="D23" s="191"/>
      <c r="E23" s="191"/>
      <c r="F23" s="196" t="n">
        <f aca="false">IFERROR((F15+F16)/'DIA_Giả Định'!$N$5,0)</f>
        <v>70787500</v>
      </c>
      <c r="G23" s="196" t="n">
        <f aca="false">IFERROR((G15+G16)/'DIA_Giả Định'!$O$5,0)</f>
        <v>146209740.5</v>
      </c>
      <c r="H23" s="196" t="n">
        <f aca="false">IFERROR((H15+H16)/'DIA_Giả Định'!$P$5,0)</f>
        <v>295722924.17795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7.25" hidden="false" customHeight="true" outlineLevel="0" collapsed="false">
      <c r="A24" s="206" t="s">
        <v>689</v>
      </c>
      <c r="B24" s="206"/>
      <c r="C24" s="206"/>
      <c r="D24" s="206"/>
      <c r="E24" s="206"/>
      <c r="F24" s="208" t="n">
        <f aca="false">F15+F16</f>
        <v>849450000</v>
      </c>
      <c r="G24" s="208" t="n">
        <f aca="false">G15+G16</f>
        <v>1754516886</v>
      </c>
      <c r="H24" s="208" t="n">
        <f aca="false">H15+H16</f>
        <v>3548675090.1354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7.25" hidden="false" customHeight="true" outlineLevel="0" collapsed="false">
      <c r="A25" s="206" t="s">
        <v>690</v>
      </c>
      <c r="B25" s="206"/>
      <c r="C25" s="206"/>
      <c r="D25" s="206"/>
      <c r="E25" s="206"/>
      <c r="F25" s="209" t="n">
        <v>0</v>
      </c>
      <c r="G25" s="209" t="n">
        <f aca="false">IFERROR(G20/F20-1,0)</f>
        <v>1.03053636281362</v>
      </c>
      <c r="H25" s="209" t="n">
        <f aca="false">IFERROR(H20/G20-1,0)</f>
        <v>1.01121264271324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7.25" hidden="false" customHeight="true" outlineLevel="0" collapsed="false">
      <c r="A26" s="191" t="s">
        <v>691</v>
      </c>
      <c r="B26" s="191"/>
      <c r="C26" s="191"/>
      <c r="D26" s="191"/>
      <c r="E26" s="191"/>
      <c r="F26" s="197" t="n">
        <f aca="false">IFERROR(F24/F20,0)</f>
        <v>0.854190758710845</v>
      </c>
      <c r="G26" s="197" t="n">
        <f aca="false">IFERROR(G24/G20,0)</f>
        <v>0.868888059406329</v>
      </c>
      <c r="H26" s="197" t="n">
        <f aca="false">IFERROR(H24/H20,0)</f>
        <v>0.873804997660686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7.25" hidden="false" customHeight="true" outlineLevel="0" collapsed="false">
      <c r="A27" s="191" t="s">
        <v>692</v>
      </c>
      <c r="B27" s="191"/>
      <c r="C27" s="191"/>
      <c r="D27" s="191"/>
      <c r="E27" s="191"/>
      <c r="F27" s="196" t="n">
        <f aca="false">IFERROR(F20/('DIA_Giả Định'!$N$6*'DIA_Giả Định'!$N$7),0)</f>
        <v>71032.1428571429</v>
      </c>
      <c r="G27" s="196" t="n">
        <f aca="false">IFERROR(G20/('DIA_Giả Định'!$O$6*'DIA_Giả Định'!$O$7),0)</f>
        <v>89745.1949333333</v>
      </c>
      <c r="H27" s="196" t="n">
        <f aca="false">IFERROR(H20/('DIA_Giả Định'!$P$6*'DIA_Giả Định'!$P$7),0)</f>
        <v>105485.067276244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3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3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3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3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3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3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3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3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3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3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3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3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3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3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3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3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3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3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3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3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3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3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3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3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3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3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3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3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3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3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3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3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3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3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3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3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3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3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3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3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3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3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3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3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3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3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3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3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3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3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3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3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3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3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3.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3.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3.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3.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16">
    <mergeCell ref="A1:P1"/>
    <mergeCell ref="A2:P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F28" activeCellId="0" sqref="F28"/>
    </sheetView>
  </sheetViews>
  <sheetFormatPr defaultColWidth="12.632812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5"/>
    <col collapsed="false" customWidth="true" hidden="false" outlineLevel="0" max="3" min="3" style="0" width="27.18"/>
    <col collapsed="false" customWidth="true" hidden="false" outlineLevel="0" max="4" min="4" style="0" width="24"/>
    <col collapsed="false" customWidth="true" hidden="false" outlineLevel="0" max="5" min="5" style="0" width="3"/>
    <col collapsed="false" customWidth="true" hidden="false" outlineLevel="0" max="6" min="6" style="0" width="24"/>
    <col collapsed="false" customWidth="true" hidden="false" outlineLevel="0" max="7" min="7" style="0" width="26.09"/>
    <col collapsed="false" customWidth="true" hidden="false" outlineLevel="0" max="8" min="8" style="0" width="28.09"/>
    <col collapsed="false" customWidth="true" hidden="false" outlineLevel="0" max="9" min="9" style="0" width="18"/>
    <col collapsed="false" customWidth="true" hidden="false" outlineLevel="0" max="12" min="10" style="0" width="14"/>
    <col collapsed="false" customWidth="true" hidden="false" outlineLevel="0" max="26" min="13" style="0" width="8.63"/>
  </cols>
  <sheetData>
    <row r="1" customFormat="false" ht="31.5" hidden="false" customHeight="true" outlineLevel="0" collapsed="false">
      <c r="A1" s="137" t="s">
        <v>693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1.75" hidden="false" customHeight="true" outlineLevel="0" collapsed="false">
      <c r="A2" s="210" t="s">
        <v>694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7.25" hidden="false" customHeight="true" outlineLevel="0" collapsed="false">
      <c r="A3" s="2" t="s">
        <v>639</v>
      </c>
      <c r="B3" s="211" t="str">
        <f aca="false">'DIA_Giả Định'!$B$2</f>
        <v>Cơ sở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7.2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7.25" hidden="false" customHeight="true" outlineLevel="0" collapsed="false">
      <c r="A5" s="202" t="s">
        <v>695</v>
      </c>
      <c r="B5" s="202"/>
      <c r="C5" s="202"/>
      <c r="D5" s="202"/>
      <c r="E5" s="2"/>
      <c r="F5" s="202" t="s">
        <v>696</v>
      </c>
      <c r="G5" s="202"/>
      <c r="H5" s="202"/>
      <c r="I5" s="20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7.25" hidden="false" customHeight="true" outlineLevel="0" collapsed="false">
      <c r="A6" s="146" t="s">
        <v>522</v>
      </c>
      <c r="B6" s="146" t="s">
        <v>468</v>
      </c>
      <c r="C6" s="146" t="s">
        <v>470</v>
      </c>
      <c r="D6" s="146" t="s">
        <v>472</v>
      </c>
      <c r="E6" s="2"/>
      <c r="F6" s="146" t="s">
        <v>522</v>
      </c>
      <c r="G6" s="146" t="s">
        <v>572</v>
      </c>
      <c r="H6" s="146" t="s">
        <v>522</v>
      </c>
      <c r="I6" s="146" t="s">
        <v>572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2.25" hidden="false" customHeight="true" outlineLevel="0" collapsed="false">
      <c r="A7" s="191" t="s">
        <v>539</v>
      </c>
      <c r="B7" s="212" t="n">
        <f aca="false">'DIA_Giả Định'!$N$6</f>
        <v>40000</v>
      </c>
      <c r="C7" s="212" t="n">
        <f aca="false">'DIA_Giả Định'!$O$6</f>
        <v>50000</v>
      </c>
      <c r="D7" s="212" t="n">
        <f aca="false">'DIA_Giả Định'!$P$6</f>
        <v>70000</v>
      </c>
      <c r="E7" s="2"/>
      <c r="F7" s="191" t="s">
        <v>531</v>
      </c>
      <c r="G7" s="213" t="n">
        <f aca="false">'DIA_Hiệu Quả TC'!$B$70</f>
        <v>-3856183379.6849</v>
      </c>
      <c r="H7" s="214" t="s">
        <v>532</v>
      </c>
      <c r="I7" s="215" t="n">
        <f aca="false">'DIA_Hiệu Quả TC'!$B$71</f>
        <v>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7.25" hidden="false" customHeight="true" outlineLevel="0" collapsed="false">
      <c r="A8" s="191" t="s">
        <v>697</v>
      </c>
      <c r="B8" s="212" t="n">
        <f aca="false">'DIA_Giả Định'!$N$6*'DIA_Giả Định'!$N$7</f>
        <v>14000</v>
      </c>
      <c r="C8" s="212" t="n">
        <f aca="false">'DIA_Giả Định'!$O$6*'DIA_Giả Định'!$O$7</f>
        <v>22500</v>
      </c>
      <c r="D8" s="212" t="n">
        <f aca="false">'DIA_Giả Định'!$P$6*'DIA_Giả Định'!$P$7</f>
        <v>38500</v>
      </c>
      <c r="E8" s="2"/>
      <c r="F8" s="191" t="s">
        <v>617</v>
      </c>
      <c r="G8" s="214" t="str">
        <f aca="false">'DIA_Hiệu Quả TC'!$B$72</f>
        <v>&gt;3 năm</v>
      </c>
      <c r="H8" s="214" t="s">
        <v>698</v>
      </c>
      <c r="I8" s="213" t="n">
        <f aca="false">'DIA_Hiệu Quả TC'!$B$80</f>
        <v>5538691487.39749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7.25" hidden="false" customHeight="true" outlineLevel="0" collapsed="false">
      <c r="A9" s="191" t="s">
        <v>541</v>
      </c>
      <c r="B9" s="212" t="n">
        <f aca="false">'DIA_Giả Định'!$N$6*'DIA_Giả Định'!$N$8</f>
        <v>1600</v>
      </c>
      <c r="C9" s="212" t="n">
        <f aca="false">'DIA_Giả Định'!$O$6*'DIA_Giả Định'!$O$8</f>
        <v>2500</v>
      </c>
      <c r="D9" s="212" t="n">
        <f aca="false">'DIA_Giả Định'!$P$6*'DIA_Giả Định'!$P$8</f>
        <v>4200</v>
      </c>
      <c r="E9" s="2"/>
      <c r="F9" s="191" t="s">
        <v>699</v>
      </c>
      <c r="G9" s="213" t="n">
        <f aca="false">'DIA_Hiệu Quả TC'!$D$87</f>
        <v>73707.4922443869</v>
      </c>
      <c r="H9" s="214" t="s">
        <v>700</v>
      </c>
      <c r="I9" s="213" t="n">
        <f aca="false">'DIA_Hiệu Quả TC'!$D$89</f>
        <v>274900.972374423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7.25" hidden="false" customHeight="true" outlineLevel="0" collapsed="false">
      <c r="A10" s="191" t="s">
        <v>701</v>
      </c>
      <c r="B10" s="212" t="n">
        <f aca="false">'DIA_Giả Định'!$N$25+'DIA_Giả Định'!$N$26</f>
        <v>7</v>
      </c>
      <c r="C10" s="212" t="n">
        <f aca="false">'DIA_Giả Định'!$O$25+'DIA_Giả Định'!$O$26</f>
        <v>20</v>
      </c>
      <c r="D10" s="212" t="n">
        <f aca="false">'DIA_Giả Định'!$P$25+'DIA_Giả Định'!$P$26</f>
        <v>40</v>
      </c>
      <c r="E10" s="2"/>
      <c r="F10" s="191" t="s">
        <v>633</v>
      </c>
      <c r="G10" s="216" t="n">
        <f aca="false">'DIA_Hiệu Quả TC'!$D$91</f>
        <v>3.72962047688385</v>
      </c>
      <c r="H10" s="214" t="s">
        <v>702</v>
      </c>
      <c r="I10" s="213" t="n">
        <f aca="false">'DIA_Hiệu Quả TC'!$B$78</f>
        <v>101441433.894496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2.25" hidden="false" customHeight="true" outlineLevel="0" collapsed="false">
      <c r="A11" s="191" t="s">
        <v>703</v>
      </c>
      <c r="B11" s="213" t="n">
        <f aca="false">'DIA_Hiệu Quả TC'!$B$29</f>
        <v>994450000</v>
      </c>
      <c r="C11" s="213" t="n">
        <f aca="false">'DIA_Hiệu Quả TC'!$C$29</f>
        <v>2019266886</v>
      </c>
      <c r="D11" s="213" t="n">
        <f aca="false">'DIA_Hiệu Quả TC'!$D$29</f>
        <v>4061175090.1354</v>
      </c>
      <c r="E11" s="2"/>
      <c r="F11" s="191" t="s">
        <v>624</v>
      </c>
      <c r="G11" s="217" t="n">
        <f aca="false">'DIA_Hiệu Quả TC'!$B$79</f>
        <v>2.95737144559703</v>
      </c>
      <c r="H11" s="214" t="s">
        <v>704</v>
      </c>
      <c r="I11" s="213" t="n">
        <f aca="false">'DIA_Hiệu Quả TC'!$D$88</f>
        <v>15120000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32.25" hidden="false" customHeight="true" outlineLevel="0" collapsed="false">
      <c r="A12" s="191" t="s">
        <v>705</v>
      </c>
      <c r="B12" s="213" t="n">
        <f aca="false">'DIA_Giá và Doanh Thu'!$F$24</f>
        <v>849450000</v>
      </c>
      <c r="C12" s="213" t="n">
        <f aca="false">'DIA_Giá và Doanh Thu'!$G$24</f>
        <v>1754516886</v>
      </c>
      <c r="D12" s="213" t="n">
        <f aca="false">'DIA_Giá và Doanh Thu'!$H$24</f>
        <v>3548675090.1354</v>
      </c>
      <c r="E12" s="2"/>
      <c r="F12" s="191" t="s">
        <v>706</v>
      </c>
      <c r="G12" s="213" t="n">
        <f aca="false">'DIA_Hiệu Quả TC'!$D$90</f>
        <v>53291466.5264</v>
      </c>
      <c r="H12" s="214" t="s">
        <v>634</v>
      </c>
      <c r="I12" s="216" t="n">
        <f aca="false">'DIA_Hiệu Quả TC'!$D$92</f>
        <v>3.52456789195767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32.25" hidden="false" customHeight="true" outlineLevel="0" collapsed="false">
      <c r="A13" s="191" t="s">
        <v>707</v>
      </c>
      <c r="B13" s="213" t="n">
        <f aca="false">'DIA_Chi Phí'!$D$65</f>
        <v>2196097250</v>
      </c>
      <c r="C13" s="213" t="n">
        <f aca="false">'DIA_Chi Phí'!$E$65</f>
        <v>3261438301.34</v>
      </c>
      <c r="D13" s="213" t="n">
        <f aca="false">'DIA_Chi Phí'!$F$65</f>
        <v>4819248044.99724</v>
      </c>
      <c r="E13" s="2"/>
      <c r="F13" s="2" t="s">
        <v>534</v>
      </c>
      <c r="G13" s="218" t="n">
        <f aca="false">'DIA_Kịch Bản &amp; Độ Nhạy'!$D$15</f>
        <v>4908443421.00256</v>
      </c>
      <c r="H13" s="2" t="s">
        <v>708</v>
      </c>
      <c r="I13" s="218" t="n">
        <f aca="false">ROUNDUP(G13/100000000,0)*100000000</f>
        <v>5000000000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32.25" hidden="false" customHeight="true" outlineLevel="0" collapsed="false">
      <c r="A14" s="191" t="s">
        <v>589</v>
      </c>
      <c r="B14" s="213" t="n">
        <f aca="false">'DIA_Hiệu Quả TC'!$B$34</f>
        <v>440102750</v>
      </c>
      <c r="C14" s="213" t="n">
        <f aca="false">'DIA_Hiệu Quả TC'!$C$34</f>
        <v>993578584.66</v>
      </c>
      <c r="D14" s="213" t="n">
        <f aca="false">'DIA_Hiệu Quả TC'!$D$34</f>
        <v>2083677045.13816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32.25" hidden="false" customHeight="true" outlineLevel="0" collapsed="false">
      <c r="A15" s="191" t="s">
        <v>551</v>
      </c>
      <c r="B15" s="213" t="n">
        <f aca="false">'DIA_Hiệu Quả TC'!$B$40</f>
        <v>-1201647250</v>
      </c>
      <c r="C15" s="213" t="n">
        <f aca="false">'DIA_Hiệu Quả TC'!$C$40</f>
        <v>-1242171415.34</v>
      </c>
      <c r="D15" s="213" t="n">
        <f aca="false">'DIA_Hiệu Quả TC'!$D$40</f>
        <v>-758072954.86184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32.25" hidden="false" customHeight="true" outlineLevel="0" collapsed="false">
      <c r="A16" s="191" t="s">
        <v>555</v>
      </c>
      <c r="B16" s="213" t="n">
        <f aca="false">'DIA_Hiệu Quả TC'!$B$47</f>
        <v>-1691047250</v>
      </c>
      <c r="C16" s="213" t="n">
        <f aca="false">'DIA_Hiệu Quả TC'!$C$47</f>
        <v>-1277121415.34</v>
      </c>
      <c r="D16" s="213" t="n">
        <f aca="false">'DIA_Hiệu Quả TC'!$D$47</f>
        <v>-793022954.86184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32.25" hidden="false" customHeight="true" outlineLevel="0" collapsed="false">
      <c r="A17" s="191" t="s">
        <v>607</v>
      </c>
      <c r="B17" s="213" t="n">
        <f aca="false">'DIA_Hiệu Quả TC'!$C$60</f>
        <v>-1201647250</v>
      </c>
      <c r="C17" s="213" t="n">
        <f aca="false">'DIA_Hiệu Quả TC'!$D$60</f>
        <v>-1441171415.34</v>
      </c>
      <c r="D17" s="213" t="n">
        <f aca="false">'DIA_Hiệu Quả TC'!$E$60</f>
        <v>-1009072954.86184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32.25" hidden="false" customHeight="true" outlineLevel="0" collapsed="false">
      <c r="A18" s="191" t="s">
        <v>608</v>
      </c>
      <c r="B18" s="213" t="n">
        <f aca="false">'DIA_Hiệu Quả TC'!$C$61</f>
        <v>-1201647250</v>
      </c>
      <c r="C18" s="213" t="n">
        <f aca="false">'DIA_Hiệu Quả TC'!$D$61</f>
        <v>-2642818665.34</v>
      </c>
      <c r="D18" s="213" t="n">
        <f aca="false">'DIA_Hiệu Quả TC'!$E$61</f>
        <v>-3651891620.20184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3.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7.2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7.25" hidden="false" customHeight="true" outlineLevel="0" collapsed="false">
      <c r="A21" s="202" t="s">
        <v>709</v>
      </c>
      <c r="B21" s="202"/>
      <c r="C21" s="202"/>
      <c r="D21" s="202"/>
      <c r="E21" s="202"/>
      <c r="F21" s="202"/>
      <c r="G21" s="202"/>
      <c r="H21" s="202"/>
      <c r="I21" s="20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7.25" hidden="false" customHeight="true" outlineLevel="0" collapsed="false">
      <c r="A22" s="191" t="s">
        <v>710</v>
      </c>
      <c r="B22" s="191"/>
      <c r="C22" s="191"/>
      <c r="D22" s="219" t="str">
        <f aca="false">IF(AND('DIA_Hiệu Quả TC'!$B$70&gt;0,'DIA_Hiệu Quả TC'!$B$71&gt;'DIA_Giả Định'!$N$60),"Đạt yêu cầu tài chính","Cần điều chỉnh giả định")</f>
        <v>Cần điều chỉnh giả định</v>
      </c>
      <c r="E22" s="219"/>
      <c r="F22" s="219"/>
      <c r="G22" s="219"/>
      <c r="H22" s="219"/>
      <c r="I22" s="21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7.25" hidden="false" customHeight="true" outlineLevel="0" collapsed="false">
      <c r="A23" s="191" t="s">
        <v>711</v>
      </c>
      <c r="B23" s="191"/>
      <c r="C23" s="191"/>
      <c r="D23" s="219" t="str">
        <f aca="false">IF(AND('DIA_Hiệu Quả TC'!$D$40&gt;0,'DIA_Hiệu Quả TC'!$E$64&gt;=0),"Hoàn vốn trong năm 3","Chưa hoàn vốn trong 3 năm")</f>
        <v>Chưa hoàn vốn trong 3 năm</v>
      </c>
      <c r="E23" s="219"/>
      <c r="F23" s="219"/>
      <c r="G23" s="219"/>
      <c r="H23" s="219"/>
      <c r="I23" s="21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7.25" hidden="false" customHeight="true" outlineLevel="0" collapsed="false">
      <c r="A24" s="191" t="s">
        <v>619</v>
      </c>
      <c r="B24" s="191"/>
      <c r="C24" s="191"/>
      <c r="D24" s="220" t="str">
        <f aca="false">IF('DIA_Hiệu Quả TC'!$E$61&lt;0,"Dòng tiền chưa cân bằng",IF(MIN('DIA_Hiệu Quả TC'!$C$61:$E$61)&lt;0,"Cần bố trí vốn lưu động giai đoạn đầu","Dòng tiền được kiểm soát"))</f>
        <v>Dòng tiền chưa cân bằng</v>
      </c>
      <c r="E24" s="220"/>
      <c r="F24" s="220"/>
      <c r="G24" s="220"/>
      <c r="H24" s="220"/>
      <c r="I24" s="22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7.25" hidden="false" customHeight="true" outlineLevel="0" collapsed="false">
      <c r="A25" s="191" t="s">
        <v>712</v>
      </c>
      <c r="B25" s="191"/>
      <c r="C25" s="191"/>
      <c r="D25" s="221" t="str">
        <f aca="false">IF(AND(D22="Đạt yêu cầu tài chính",D23="Hoàn vốn trong năm 3",'DIA_Hiệu Quả TC'!$E$61&gt;=0),"Khả thi có điều kiện – đề xuất gọi vốn "&amp;TEXT(I13/1000000000,"0.0")&amp;" tỷ đồng","Cần điều chỉnh giả định")</f>
        <v>Cần điều chỉnh giả định</v>
      </c>
      <c r="E25" s="221"/>
      <c r="F25" s="221"/>
      <c r="G25" s="221"/>
      <c r="H25" s="221"/>
      <c r="I25" s="22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7.2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7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7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7.25" hidden="false" customHeight="true" outlineLevel="0" collapsed="false">
      <c r="A29" s="146" t="s">
        <v>663</v>
      </c>
      <c r="B29" s="146" t="s">
        <v>703</v>
      </c>
      <c r="C29" s="146" t="s">
        <v>707</v>
      </c>
      <c r="D29" s="22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32.25" hidden="false" customHeight="true" outlineLevel="0" collapsed="false">
      <c r="A30" s="139" t="s">
        <v>468</v>
      </c>
      <c r="B30" s="140" t="n">
        <f aca="false">B11</f>
        <v>994450000</v>
      </c>
      <c r="C30" s="140" t="n">
        <f aca="false">B13</f>
        <v>2196097250</v>
      </c>
      <c r="D30" s="140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32.25" hidden="false" customHeight="true" outlineLevel="0" collapsed="false">
      <c r="A31" s="139" t="s">
        <v>470</v>
      </c>
      <c r="B31" s="140" t="n">
        <f aca="false">C11</f>
        <v>2019266886</v>
      </c>
      <c r="C31" s="140" t="n">
        <f aca="false">C13</f>
        <v>3261438301.34</v>
      </c>
      <c r="D31" s="140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32.25" hidden="false" customHeight="true" outlineLevel="0" collapsed="false">
      <c r="A32" s="139" t="s">
        <v>472</v>
      </c>
      <c r="B32" s="140" t="n">
        <f aca="false">D11</f>
        <v>4061175090.1354</v>
      </c>
      <c r="C32" s="140" t="n">
        <f aca="false">D13</f>
        <v>4819248044.99724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7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7.25" hidden="false" customHeight="true" outlineLevel="0" collapsed="false">
      <c r="A34" s="222"/>
      <c r="B34" s="22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7.25" hidden="false" customHeight="true" outlineLevel="0" collapsed="false">
      <c r="A35" s="146" t="s">
        <v>713</v>
      </c>
      <c r="B35" s="223" t="s">
        <v>572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32.25" hidden="false" customHeight="true" outlineLevel="0" collapsed="false">
      <c r="A36" s="139" t="s">
        <v>496</v>
      </c>
      <c r="B36" s="140" t="n">
        <f aca="false">'DIA_Hiệu Quả TC'!$D$30</f>
        <v>2250333434.4624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7.25" hidden="false" customHeight="true" outlineLevel="0" collapsed="false">
      <c r="A37" s="139" t="s">
        <v>503</v>
      </c>
      <c r="B37" s="140" t="n">
        <f aca="false">'DIA_Hiệu Quả TC'!$D$31</f>
        <v>1298341655.673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7.25" hidden="false" customHeight="true" outlineLevel="0" collapsed="false">
      <c r="A38" s="139" t="s">
        <v>714</v>
      </c>
      <c r="B38" s="140" t="n">
        <f aca="false">'DIA_Hiệu Quả TC'!$D$32</f>
        <v>362500000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7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7.25" hidden="false" customHeight="true" outlineLevel="0" collapsed="false">
      <c r="A40" s="222"/>
      <c r="B40" s="222"/>
      <c r="C40" s="222"/>
      <c r="D40" s="22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32.25" hidden="false" customHeight="true" outlineLevel="0" collapsed="false">
      <c r="A41" s="146" t="s">
        <v>663</v>
      </c>
      <c r="B41" s="148" t="s">
        <v>539</v>
      </c>
      <c r="C41" s="148" t="s">
        <v>715</v>
      </c>
      <c r="D41" s="14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7.25" hidden="false" customHeight="true" outlineLevel="0" collapsed="false">
      <c r="A42" s="139" t="s">
        <v>468</v>
      </c>
      <c r="B42" s="141" t="n">
        <f aca="false">B7</f>
        <v>40000</v>
      </c>
      <c r="C42" s="141" t="n">
        <f aca="false">B9</f>
        <v>1600</v>
      </c>
      <c r="D42" s="14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7.25" hidden="false" customHeight="true" outlineLevel="0" collapsed="false">
      <c r="A43" s="139" t="s">
        <v>470</v>
      </c>
      <c r="B43" s="141" t="n">
        <f aca="false">C7</f>
        <v>50000</v>
      </c>
      <c r="C43" s="141" t="n">
        <f aca="false">C9</f>
        <v>2500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7.25" hidden="false" customHeight="true" outlineLevel="0" collapsed="false">
      <c r="A44" s="139" t="s">
        <v>472</v>
      </c>
      <c r="B44" s="141" t="n">
        <f aca="false">D7</f>
        <v>70000</v>
      </c>
      <c r="C44" s="141" t="n">
        <f aca="false">D9</f>
        <v>4200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7.25" hidden="false" customHeight="true" outlineLevel="0" collapsed="false">
      <c r="A45" s="222"/>
      <c r="B45" s="222"/>
      <c r="C45" s="222"/>
      <c r="D45" s="22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7.25" hidden="false" customHeight="true" outlineLevel="0" collapsed="false">
      <c r="A46" s="139"/>
      <c r="B46" s="140"/>
      <c r="C46" s="140"/>
      <c r="D46" s="140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32.25" hidden="false" customHeight="true" outlineLevel="0" collapsed="false">
      <c r="A47" s="146" t="s">
        <v>663</v>
      </c>
      <c r="B47" s="223" t="s">
        <v>607</v>
      </c>
      <c r="C47" s="223" t="s">
        <v>608</v>
      </c>
      <c r="D47" s="140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7.25" hidden="false" customHeight="true" outlineLevel="0" collapsed="false">
      <c r="A48" s="139" t="s">
        <v>468</v>
      </c>
      <c r="B48" s="140" t="n">
        <f aca="false">B17</f>
        <v>-1201647250</v>
      </c>
      <c r="C48" s="140" t="n">
        <f aca="false">B18</f>
        <v>-1201647250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32.25" hidden="false" customHeight="true" outlineLevel="0" collapsed="false">
      <c r="A49" s="139" t="s">
        <v>470</v>
      </c>
      <c r="B49" s="140" t="n">
        <f aca="false">C17</f>
        <v>-1441171415.34</v>
      </c>
      <c r="C49" s="140" t="n">
        <f aca="false">C18</f>
        <v>-2642818665.34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32.25" hidden="false" customHeight="true" outlineLevel="0" collapsed="false">
      <c r="A50" s="139" t="s">
        <v>472</v>
      </c>
      <c r="B50" s="140" t="n">
        <f aca="false">D17</f>
        <v>-1009072954.86184</v>
      </c>
      <c r="C50" s="140" t="n">
        <f aca="false">D18</f>
        <v>-3651891620.20184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3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3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3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3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3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3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3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3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3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3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3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3.5" hidden="false" customHeight="true" outlineLevel="0" collapsed="false">
      <c r="A79" s="224"/>
      <c r="B79" s="224"/>
      <c r="C79" s="224"/>
      <c r="D79" s="224"/>
      <c r="E79" s="224"/>
      <c r="F79" s="224"/>
      <c r="G79" s="224"/>
      <c r="H79" s="224"/>
      <c r="I79" s="224"/>
      <c r="J79" s="224"/>
      <c r="K79" s="224"/>
      <c r="L79" s="224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3.5" hidden="false" customHeight="true" outlineLevel="0" collapsed="false">
      <c r="A80" s="224"/>
      <c r="B80" s="224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3.5" hidden="false" customHeight="true" outlineLevel="0" collapsed="false">
      <c r="A81" s="224"/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3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3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3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3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3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3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3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3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3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3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3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3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3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3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3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3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3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3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3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3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3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3.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3.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3.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3.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3.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3.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3.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4">
    <mergeCell ref="A1:L1"/>
    <mergeCell ref="A2:L2"/>
    <mergeCell ref="A5:D5"/>
    <mergeCell ref="F5:I5"/>
    <mergeCell ref="A21:I21"/>
    <mergeCell ref="A22:C22"/>
    <mergeCell ref="D22:I22"/>
    <mergeCell ref="A23:C23"/>
    <mergeCell ref="D23:I23"/>
    <mergeCell ref="A24:C24"/>
    <mergeCell ref="D24:I24"/>
    <mergeCell ref="A25:C25"/>
    <mergeCell ref="D25:I25"/>
    <mergeCell ref="A79:L81"/>
  </mergeCells>
  <conditionalFormatting sqref="B15:D18">
    <cfRule type="cellIs" priority="2" operator="lessThan" aboveAverage="0" equalAverage="0" bottom="0" percent="0" rank="0" text="" dxfId="17">
      <formula>0</formula>
    </cfRule>
  </conditionalFormatting>
  <conditionalFormatting sqref="D22:I25">
    <cfRule type="expression" priority="3" aboveAverage="0" equalAverage="0" bottom="0" percent="0" rank="0" text="" dxfId="19">
      <formula>OR($D22="Có hiệu quả tài chính",$D22="Dòng tiền được kiểm soát")</formula>
    </cfRule>
    <cfRule type="expression" priority="4" aboveAverage="0" equalAverage="0" bottom="0" percent="0" rank="0" text="" dxfId="20">
      <formula>OR($D22="Cần điều chỉnh giả định",$D22="Chưa đạt điểm hòa vốn",$D22="Dòng tiền có nguy cơ thiếu hụt")</formula>
    </cfRule>
    <cfRule type="expression" priority="5" aboveAverage="0" equalAverage="0" bottom="0" percent="0" rank="0" text="" dxfId="19">
      <formula>OR($D22="Có hiệu quả tài chính",$D22="Dòng tiền được kiểm soát")</formula>
    </cfRule>
    <cfRule type="expression" priority="6" aboveAverage="0" equalAverage="0" bottom="0" percent="0" rank="0" text="" dxfId="20">
      <formula>OR($D22="Cần điều chỉnh giả định",$D22="Chưa đạt điểm hòa vốn",$D22="Dòng tiền có nguy cơ thiếu hụt")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2026-07-23T04:29:47Z</dcterms:created>
  <dc:creator>ASUS</dc:creator>
  <dc:description/>
  <dc:language>en-US</dc:language>
  <cp:lastModifiedBy/>
  <dcterms:modified xsi:type="dcterms:W3CDTF">2026-07-23T09:12:41Z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